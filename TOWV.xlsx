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Guide" sheetId="2" r:id="rId5"/>
    <sheet state="visible" name="Summary" sheetId="3" r:id="rId6"/>
    <sheet state="visible" name="Inputs" sheetId="4" r:id="rId7"/>
    <sheet state="visible" name="Scenarios" sheetId="5" r:id="rId8"/>
    <sheet state="visible" name="Calc" sheetId="6" r:id="rId9"/>
    <sheet state="visible" name="PL" sheetId="7" r:id="rId10"/>
    <sheet state="visible" name="BS" sheetId="8" r:id="rId11"/>
    <sheet state="visible" name="CF" sheetId="9" r:id="rId12"/>
    <sheet state="visible" name="Analysis" sheetId="10" r:id="rId13"/>
  </sheets>
  <definedNames>
    <definedName name="PL_switch">Analysis!$E$21</definedName>
    <definedName name="F_Switch1">Analysis!$F$38</definedName>
    <definedName name="F_List">Analysis!$D$25:$D$36</definedName>
    <definedName name="Scenario">Scenarios!$D$11</definedName>
    <definedName name="PL_Metrics">Analysis!$D$11:$D$19</definedName>
    <definedName name="S_Switch">Scenarios!$E$12</definedName>
    <definedName name="Div">Guide!$F$53</definedName>
    <definedName name="S_Case">Guide!$D$56:$D$59</definedName>
    <definedName name="Currency">Guide!$F$36</definedName>
    <definedName name="F_Switch2">Analysis!$F$39</definedName>
  </definedNames>
  <calcPr/>
  <extLst>
    <ext uri="GoogleSheetsCustomDataVersion2">
      <go:sheetsCustomData xmlns:go="http://customooxmlschemas.google.com/" r:id="rId14" roundtripDataChecksum="33YOLXbquXVc64QkN5I/kzGrT60sj7U05Z7snu6jj5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======
ID#AAAAaCTpOTo
Victor Ogundele    (2022-06-02 18:37:05)
Source: https://www.statista.com/statistics/244983/projected-inflation-rate-in-the-united-states/</t>
      </text>
    </comment>
    <comment authorId="0" ref="D74">
      <text>
        <t xml:space="preserve">======
ID#AAAAaCTpOTk
Victor Ogundele    (2022-06-02 18:37:05)
Expect the company to sell any product they have in store within the stipulated period</t>
      </text>
    </comment>
    <comment authorId="0" ref="D24">
      <text>
        <t xml:space="preserve">======
ID#AAAAaCTpOTg
Victor Ogundele    (2022-06-02 18:37:05)
Source: https://www.marketwatch.com/press-release/global-paints-coatings-market-expected-to-reach-usd-267760-million-and-compound-annual-growth-rate-cagr-is-45-forecast-period-2021-2027-2021-06-21</t>
      </text>
    </comment>
    <comment authorId="0" ref="D43">
      <text>
        <t xml:space="preserve">======
ID#AAAAaCTpOTc
Victor Ogundele    (2022-06-02 18:37:05)
https://www.valuepenguin.com/average-small-business-loan-interest-rates</t>
      </text>
    </comment>
  </commentList>
  <extLst>
    <ext uri="GoogleSheetsCustomDataVersion2">
      <go:sheetsCustomData xmlns:go="http://customooxmlschemas.google.com/" r:id="rId1" roundtripDataSignature="AMtx7mj+Dw82pdGiUrjROL+n/lkm1Zk08A=="/>
    </ext>
  </extLst>
</comments>
</file>

<file path=xl/sharedStrings.xml><?xml version="1.0" encoding="utf-8"?>
<sst xmlns="http://schemas.openxmlformats.org/spreadsheetml/2006/main" count="566" uniqueCount="395">
  <si>
    <t>Financial Forecast for a period of 5 Year</t>
  </si>
  <si>
    <t>Model Cell Style</t>
  </si>
  <si>
    <t>this section provide guide to what the value in the represent</t>
  </si>
  <si>
    <t>Description</t>
  </si>
  <si>
    <t>Sample</t>
  </si>
  <si>
    <t>note</t>
  </si>
  <si>
    <t>Input cell style</t>
  </si>
  <si>
    <t>values in this style represent hardcoded value and can be changed</t>
  </si>
  <si>
    <t>Linked cell style</t>
  </si>
  <si>
    <t>values in this style are linked from another worksheet or another cell</t>
  </si>
  <si>
    <t>Formula cell style</t>
  </si>
  <si>
    <t>contain formulas and should not be tampared with</t>
  </si>
  <si>
    <t>Percentage cell style</t>
  </si>
  <si>
    <t>represent values in their hundred of unit</t>
  </si>
  <si>
    <t>Multiple cell style</t>
  </si>
  <si>
    <t>represent values in their multiples of unit</t>
  </si>
  <si>
    <t>Subtotal cells</t>
  </si>
  <si>
    <t>calculations of sub group of rows or columns</t>
  </si>
  <si>
    <t>Total cells</t>
  </si>
  <si>
    <t>calculation of entire rows or column</t>
  </si>
  <si>
    <t>Banner style</t>
  </si>
  <si>
    <t>Title</t>
  </si>
  <si>
    <t>table ending</t>
  </si>
  <si>
    <t>Heading 1</t>
  </si>
  <si>
    <t>section title</t>
  </si>
  <si>
    <t>Heading 2</t>
  </si>
  <si>
    <t>sub-section title</t>
  </si>
  <si>
    <t>Model Content</t>
  </si>
  <si>
    <t>description of the model table of content</t>
  </si>
  <si>
    <t>cell color</t>
  </si>
  <si>
    <t>Model Summary</t>
  </si>
  <si>
    <t>overview of the model output</t>
  </si>
  <si>
    <t>Inputs/Assumption</t>
  </si>
  <si>
    <t>model drivers and raw data input</t>
  </si>
  <si>
    <t>Calculations</t>
  </si>
  <si>
    <t>engine room where calculations were done</t>
  </si>
  <si>
    <t>Profit or Loss Account</t>
  </si>
  <si>
    <t>revenue, expenses and profit result</t>
  </si>
  <si>
    <t>Balance Sheet</t>
  </si>
  <si>
    <t>business sources of funds and use of funds</t>
  </si>
  <si>
    <t>Cashflow Statement</t>
  </si>
  <si>
    <t>analysis of the business inflow and outflow</t>
  </si>
  <si>
    <t>Analysis</t>
  </si>
  <si>
    <t>investment viability measurement</t>
  </si>
  <si>
    <t>Model Detail</t>
  </si>
  <si>
    <t>this section list the information of the model</t>
  </si>
  <si>
    <t>Company Name</t>
  </si>
  <si>
    <t>TOWV Bootcamp Limited</t>
  </si>
  <si>
    <t>Business Industry</t>
  </si>
  <si>
    <t>Distributor</t>
  </si>
  <si>
    <t>Business Location</t>
  </si>
  <si>
    <t>USA</t>
  </si>
  <si>
    <t>Business currency</t>
  </si>
  <si>
    <t>$</t>
  </si>
  <si>
    <t>Contact us: email</t>
  </si>
  <si>
    <t>Contact us: phone number</t>
  </si>
  <si>
    <t>Model start period</t>
  </si>
  <si>
    <t>Model forecast period</t>
  </si>
  <si>
    <t>Month in a period</t>
  </si>
  <si>
    <t>Model Objective</t>
  </si>
  <si>
    <t>To raise Funding</t>
  </si>
  <si>
    <t>Glossary</t>
  </si>
  <si>
    <t>explanation of abbreviated models in the model</t>
  </si>
  <si>
    <t>Abbreviation</t>
  </si>
  <si>
    <t>Full meaning</t>
  </si>
  <si>
    <t>Calc</t>
  </si>
  <si>
    <t>PL</t>
  </si>
  <si>
    <t>BS</t>
  </si>
  <si>
    <t>Balance sheet</t>
  </si>
  <si>
    <t>CF</t>
  </si>
  <si>
    <t>Cashflow statement</t>
  </si>
  <si>
    <t>DCF</t>
  </si>
  <si>
    <t>Discounted cashflow</t>
  </si>
  <si>
    <t>Million division</t>
  </si>
  <si>
    <t>Scenarios</t>
  </si>
  <si>
    <t>Base Case</t>
  </si>
  <si>
    <t>Conservative Case</t>
  </si>
  <si>
    <t>Best Case</t>
  </si>
  <si>
    <t>Worse Case</t>
  </si>
  <si>
    <t>Name Manager</t>
  </si>
  <si>
    <t>Currency</t>
  </si>
  <si>
    <t>=Guide!$F$37</t>
  </si>
  <si>
    <t>Div</t>
  </si>
  <si>
    <t>=Guide!$F$54</t>
  </si>
  <si>
    <t>F_List</t>
  </si>
  <si>
    <t>=Analysis!$D$25:$D$36</t>
  </si>
  <si>
    <t>F_Switch1</t>
  </si>
  <si>
    <t>=Analysis!$F$38</t>
  </si>
  <si>
    <t>F_Switch2</t>
  </si>
  <si>
    <t>=Analysis!$F$39</t>
  </si>
  <si>
    <t>PL_Metrics</t>
  </si>
  <si>
    <t>=Analysis!$D$11:$D$19</t>
  </si>
  <si>
    <t>PL_switch</t>
  </si>
  <si>
    <t>=Analysis!$E$21</t>
  </si>
  <si>
    <t>Print_Titles</t>
  </si>
  <si>
    <t>=Guide!$1:$1</t>
  </si>
  <si>
    <t>S_Case</t>
  </si>
  <si>
    <t>=Guide!$D$57:$D$60</t>
  </si>
  <si>
    <t>S_Switch</t>
  </si>
  <si>
    <t>=Scenarios!$E$12</t>
  </si>
  <si>
    <t>Summary/Dashboard</t>
  </si>
  <si>
    <t>growth</t>
  </si>
  <si>
    <t>margin</t>
  </si>
  <si>
    <t>Inputs &amp; Assumptions</t>
  </si>
  <si>
    <t>period start</t>
  </si>
  <si>
    <t>Period end</t>
  </si>
  <si>
    <t>Model balance check</t>
  </si>
  <si>
    <t>Years</t>
  </si>
  <si>
    <t>Descriptions</t>
  </si>
  <si>
    <t>unit</t>
  </si>
  <si>
    <t>Inputs/Linked</t>
  </si>
  <si>
    <t>Row Aver.</t>
  </si>
  <si>
    <t>Row Total</t>
  </si>
  <si>
    <t>General &amp; Macro-Economic Assumptions</t>
  </si>
  <si>
    <t>Timing</t>
  </si>
  <si>
    <t>Period</t>
  </si>
  <si>
    <t>Days in a period</t>
  </si>
  <si>
    <t>days</t>
  </si>
  <si>
    <t>month</t>
  </si>
  <si>
    <t>Macro-Econmic Assumptions</t>
  </si>
  <si>
    <t>Inflation Rate</t>
  </si>
  <si>
    <t>Inflation rate</t>
  </si>
  <si>
    <t>%age</t>
  </si>
  <si>
    <t>change from the scenario worksheet</t>
  </si>
  <si>
    <t>Inflation factor</t>
  </si>
  <si>
    <t>times</t>
  </si>
  <si>
    <t>Pricing growth rate</t>
  </si>
  <si>
    <t>Product pricing growth</t>
  </si>
  <si>
    <t>Quantity growth rate</t>
  </si>
  <si>
    <t>Volume growth rate (CAGR)</t>
  </si>
  <si>
    <t>Government</t>
  </si>
  <si>
    <t>Provision for tax</t>
  </si>
  <si>
    <t>Use of Assets</t>
  </si>
  <si>
    <t>Maintenable capex</t>
  </si>
  <si>
    <t>factor of dep.</t>
  </si>
  <si>
    <t>Financing &amp; Use of Funds</t>
  </si>
  <si>
    <t>Funding</t>
  </si>
  <si>
    <t>Loan Financing</t>
  </si>
  <si>
    <t>Long term loan</t>
  </si>
  <si>
    <t>Equity Financing</t>
  </si>
  <si>
    <t>Equity</t>
  </si>
  <si>
    <t>Total Funding</t>
  </si>
  <si>
    <t>Cost of Financing</t>
  </si>
  <si>
    <t>Loans</t>
  </si>
  <si>
    <t>Loan period</t>
  </si>
  <si>
    <t>years</t>
  </si>
  <si>
    <t>Loan interest rate</t>
  </si>
  <si>
    <t>Dividend payout ratio</t>
  </si>
  <si>
    <t>Use of Funds</t>
  </si>
  <si>
    <t>Business registration &amp; Licensing</t>
  </si>
  <si>
    <t>Lifespan</t>
  </si>
  <si>
    <t>Business registration</t>
  </si>
  <si>
    <t>Licensing</t>
  </si>
  <si>
    <t>Professional cost</t>
  </si>
  <si>
    <t>Research</t>
  </si>
  <si>
    <t>Assets</t>
  </si>
  <si>
    <t>Furnitures &amp; Fittings</t>
  </si>
  <si>
    <t>Plant &amp; Equipment</t>
  </si>
  <si>
    <t>Website &amp; Software</t>
  </si>
  <si>
    <t>Vehicles</t>
  </si>
  <si>
    <t>Inventory</t>
  </si>
  <si>
    <t>Stock product</t>
  </si>
  <si>
    <t>Awareness</t>
  </si>
  <si>
    <t>Marketing &amp; Advertising</t>
  </si>
  <si>
    <t>PRO</t>
  </si>
  <si>
    <t>Prepaid Expenses</t>
  </si>
  <si>
    <t>Rent</t>
  </si>
  <si>
    <t>Insurance</t>
  </si>
  <si>
    <t>Provision for opex (WC)</t>
  </si>
  <si>
    <t>Total use of funds</t>
  </si>
  <si>
    <t>Working Capital &amp; Operational Cost</t>
  </si>
  <si>
    <t>Operating Working Capital</t>
  </si>
  <si>
    <t>Inventories</t>
  </si>
  <si>
    <t>Trade receivables</t>
  </si>
  <si>
    <t>Prepayment</t>
  </si>
  <si>
    <t>Liabilities</t>
  </si>
  <si>
    <t>Trade payables</t>
  </si>
  <si>
    <t>Accrued expenses</t>
  </si>
  <si>
    <t>Other liabilities</t>
  </si>
  <si>
    <t>Operational Expenses</t>
  </si>
  <si>
    <t>Human Resources (staff)</t>
  </si>
  <si>
    <t>Manager</t>
  </si>
  <si>
    <t>no.</t>
  </si>
  <si>
    <t>Sales personnel/Stock keeper</t>
  </si>
  <si>
    <t>Accountant</t>
  </si>
  <si>
    <t>Security</t>
  </si>
  <si>
    <t>Other staff</t>
  </si>
  <si>
    <t>Human Resources (Salary)</t>
  </si>
  <si>
    <t>Selling, General &amp; Admin Expenses</t>
  </si>
  <si>
    <t>Utilities</t>
  </si>
  <si>
    <t>Maintenance</t>
  </si>
  <si>
    <t>Internet &amp; Subscriptions</t>
  </si>
  <si>
    <t>Marketing</t>
  </si>
  <si>
    <t>Miscellaneous</t>
  </si>
  <si>
    <t>Revenue &amp; Cost</t>
  </si>
  <si>
    <t>Revenue</t>
  </si>
  <si>
    <t>Product</t>
  </si>
  <si>
    <t>Paint Size 1</t>
  </si>
  <si>
    <t>Paint Size 2</t>
  </si>
  <si>
    <t>Paint Size 3</t>
  </si>
  <si>
    <t>Product Price</t>
  </si>
  <si>
    <t>Product Quantity</t>
  </si>
  <si>
    <t>units/month</t>
  </si>
  <si>
    <t>Cost</t>
  </si>
  <si>
    <t>Cost of Product</t>
  </si>
  <si>
    <t>Other cost</t>
  </si>
  <si>
    <t>%age of sales</t>
  </si>
  <si>
    <t>Scenarios &amp; Sensitivity</t>
  </si>
  <si>
    <t>CAGR</t>
  </si>
  <si>
    <t>Calculations &amp; Schedule</t>
  </si>
  <si>
    <t>Funding Calculations</t>
  </si>
  <si>
    <t>Loan Schedule</t>
  </si>
  <si>
    <t>Assumptions Linked</t>
  </si>
  <si>
    <t>Loan for schedule</t>
  </si>
  <si>
    <t>Loan for cashflow</t>
  </si>
  <si>
    <t>Beginning balance</t>
  </si>
  <si>
    <t>Add: New loan</t>
  </si>
  <si>
    <t>Less: repayment</t>
  </si>
  <si>
    <t>Ending balance</t>
  </si>
  <si>
    <t>Interest expense</t>
  </si>
  <si>
    <t>Mask &amp; Flag</t>
  </si>
  <si>
    <t>Equity Schedule</t>
  </si>
  <si>
    <t>Change</t>
  </si>
  <si>
    <t>Retained earnings</t>
  </si>
  <si>
    <t>Add: net profit</t>
  </si>
  <si>
    <t>Less: Dividends</t>
  </si>
  <si>
    <t>Use of funds &amp; Capex</t>
  </si>
  <si>
    <t>Summarized Use of Funds</t>
  </si>
  <si>
    <t>Pre-operational expenses</t>
  </si>
  <si>
    <t>Pre-paid Rent &amp; insurance</t>
  </si>
  <si>
    <t>Working cash</t>
  </si>
  <si>
    <t>Capex &amp; Depreciation</t>
  </si>
  <si>
    <t>Assumptions linked</t>
  </si>
  <si>
    <t>Asset lifespan</t>
  </si>
  <si>
    <t>year</t>
  </si>
  <si>
    <t>Asset Schedule</t>
  </si>
  <si>
    <t>Add: New capex</t>
  </si>
  <si>
    <t>Less:Depreciation</t>
  </si>
  <si>
    <t>Amount</t>
  </si>
  <si>
    <t>Total dep.</t>
  </si>
  <si>
    <t>Revenue &amp; Cost Calculations</t>
  </si>
  <si>
    <t>Assumption Linked</t>
  </si>
  <si>
    <t>units/year</t>
  </si>
  <si>
    <t>Total Quantity</t>
  </si>
  <si>
    <t>Total revenue</t>
  </si>
  <si>
    <t>Total cost of product</t>
  </si>
  <si>
    <t>Other direct cost</t>
  </si>
  <si>
    <t>Total cost of sales</t>
  </si>
  <si>
    <t>Human Personnel</t>
  </si>
  <si>
    <t>Salaries Calculations</t>
  </si>
  <si>
    <t>Salaries &amp; wages</t>
  </si>
  <si>
    <t>Operational expenses</t>
  </si>
  <si>
    <t>Operational expense</t>
  </si>
  <si>
    <t>Total SG&amp;A</t>
  </si>
  <si>
    <t>Summarized SG&amp;A</t>
  </si>
  <si>
    <t>Salaries</t>
  </si>
  <si>
    <t>SG&amp;A</t>
  </si>
  <si>
    <t>Tax expense</t>
  </si>
  <si>
    <t>Operating working capital</t>
  </si>
  <si>
    <t>OWC</t>
  </si>
  <si>
    <t>Cost of sales</t>
  </si>
  <si>
    <t>Operating working capital calculations</t>
  </si>
  <si>
    <t>Current Assets</t>
  </si>
  <si>
    <t>Total current assets</t>
  </si>
  <si>
    <t>Current liabilities</t>
  </si>
  <si>
    <t>Total current liabilities</t>
  </si>
  <si>
    <t>Change in OWC</t>
  </si>
  <si>
    <t>Trend</t>
  </si>
  <si>
    <t>Summarized Profit or Loss Account</t>
  </si>
  <si>
    <t>yoy growth</t>
  </si>
  <si>
    <t>Cost of Sales</t>
  </si>
  <si>
    <t>COS growth</t>
  </si>
  <si>
    <t>Gross Profit</t>
  </si>
  <si>
    <t>gross profit margin</t>
  </si>
  <si>
    <t>opex to revenue</t>
  </si>
  <si>
    <t>EBITDA</t>
  </si>
  <si>
    <t>ebitda margin</t>
  </si>
  <si>
    <t>Depreciation &amp; Amort.</t>
  </si>
  <si>
    <t>dep. to sales</t>
  </si>
  <si>
    <t>multiple</t>
  </si>
  <si>
    <t>EBIT</t>
  </si>
  <si>
    <t>EBT</t>
  </si>
  <si>
    <t>Net profit</t>
  </si>
  <si>
    <t>net profit margin</t>
  </si>
  <si>
    <t>balanc check</t>
  </si>
  <si>
    <t>Non current Assets (NCA)</t>
  </si>
  <si>
    <t>Net PPE</t>
  </si>
  <si>
    <t>Total  NCA</t>
  </si>
  <si>
    <t>Current Assets (CA)</t>
  </si>
  <si>
    <t>Cash &amp; Cash equivalent</t>
  </si>
  <si>
    <t>Total CA</t>
  </si>
  <si>
    <t>Total Assets</t>
  </si>
  <si>
    <t>Non current Lialbilities (NCL)</t>
  </si>
  <si>
    <t>Total NCL</t>
  </si>
  <si>
    <t>Current Liabilities (CL)</t>
  </si>
  <si>
    <t>Tax payables</t>
  </si>
  <si>
    <t>Total CL</t>
  </si>
  <si>
    <t>Total Liabilities</t>
  </si>
  <si>
    <t>Share capital</t>
  </si>
  <si>
    <t>Total Equity</t>
  </si>
  <si>
    <t>Total Equity &amp; Liabilities</t>
  </si>
  <si>
    <t>Cash flow from Operating Activities (CFFO)</t>
  </si>
  <si>
    <t>Profit before tax</t>
  </si>
  <si>
    <t>adjustment for non-cash</t>
  </si>
  <si>
    <t>Depreciation &amp; amort.</t>
  </si>
  <si>
    <t>Changes in OWC</t>
  </si>
  <si>
    <t>Taxation</t>
  </si>
  <si>
    <t>Tax paid</t>
  </si>
  <si>
    <t>Net CFFO</t>
  </si>
  <si>
    <t>Cash flow from Investing Activities (CFFI)</t>
  </si>
  <si>
    <t>PPE</t>
  </si>
  <si>
    <t>Net CFFI</t>
  </si>
  <si>
    <t>Cash flow from Financing Activities (CFFF)</t>
  </si>
  <si>
    <t>Equity new issue</t>
  </si>
  <si>
    <t>Long term loans</t>
  </si>
  <si>
    <t>Dividends</t>
  </si>
  <si>
    <t>Principal repayment</t>
  </si>
  <si>
    <t>Net CFFF</t>
  </si>
  <si>
    <t>Cash Schedule</t>
  </si>
  <si>
    <t>Cash for the period</t>
  </si>
  <si>
    <t>Ending cash balance</t>
  </si>
  <si>
    <t>Margin, Ratios &amp; Analysis</t>
  </si>
  <si>
    <t>Ratio &amp; Metrics</t>
  </si>
  <si>
    <t>Revenue growth</t>
  </si>
  <si>
    <t>Gross profit margin</t>
  </si>
  <si>
    <t>Opex to sales</t>
  </si>
  <si>
    <t>EBITDA margin</t>
  </si>
  <si>
    <t>EBT margin</t>
  </si>
  <si>
    <t>Net profit margin</t>
  </si>
  <si>
    <t>ROE</t>
  </si>
  <si>
    <t>ROI</t>
  </si>
  <si>
    <t>ROA</t>
  </si>
  <si>
    <t>Financial Summary</t>
  </si>
  <si>
    <t>Total Asset</t>
  </si>
  <si>
    <t>CFFO</t>
  </si>
  <si>
    <t>Cash balance</t>
  </si>
  <si>
    <t>Free cash flow from firm (FCFF)</t>
  </si>
  <si>
    <t>Less: tax</t>
  </si>
  <si>
    <t xml:space="preserve">NOPAT </t>
  </si>
  <si>
    <t>Add: Depreciation</t>
  </si>
  <si>
    <t>Less: capex</t>
  </si>
  <si>
    <t>Less: change in OWC</t>
  </si>
  <si>
    <t>FCFF</t>
  </si>
  <si>
    <t>Discounting rate</t>
  </si>
  <si>
    <t>Discounting factor</t>
  </si>
  <si>
    <t>factor</t>
  </si>
  <si>
    <t>FCCF</t>
  </si>
  <si>
    <t>NPV of Explicit period</t>
  </si>
  <si>
    <t>Discounting Factor</t>
  </si>
  <si>
    <t>Financing</t>
  </si>
  <si>
    <t>Cost of Equity</t>
  </si>
  <si>
    <t>(RF+Beta x Mp)</t>
  </si>
  <si>
    <t>Risk Free rate</t>
  </si>
  <si>
    <t>https://www.statista.com/statistics/1058454/yield-curve-usa/</t>
  </si>
  <si>
    <t>Market premium</t>
  </si>
  <si>
    <t>https://www.statista.com/statistics/664840/average-market-risk-premium-usa/#:~:text=The%20average%20market%20risk%20premium,and%205.7%20percent%20since%202011.</t>
  </si>
  <si>
    <t>Beta</t>
  </si>
  <si>
    <t>http://pages.stern.nyu.edu/~adamodar/New_Home_Page/datafile/wacc.html</t>
  </si>
  <si>
    <t>Cost of Debt</t>
  </si>
  <si>
    <t>Tax rate</t>
  </si>
  <si>
    <t>Cost after tax</t>
  </si>
  <si>
    <t>WACC</t>
  </si>
  <si>
    <t>Net Present Value</t>
  </si>
  <si>
    <t>Cash Flow</t>
  </si>
  <si>
    <t>Discount Rate</t>
  </si>
  <si>
    <t>Discount factor</t>
  </si>
  <si>
    <t>Present value</t>
  </si>
  <si>
    <t>Net Present value (calc)</t>
  </si>
  <si>
    <t>Net Present value (excel)</t>
  </si>
  <si>
    <t>Payback Period</t>
  </si>
  <si>
    <t>Cash flow</t>
  </si>
  <si>
    <t>Cummulative cash flow</t>
  </si>
  <si>
    <t>Payback period</t>
  </si>
  <si>
    <t>formula 1</t>
  </si>
  <si>
    <t>formula 2</t>
  </si>
  <si>
    <t>Discounted Payback Period</t>
  </si>
  <si>
    <t>PV Cash</t>
  </si>
  <si>
    <t>Cummulative</t>
  </si>
  <si>
    <t>Internal Rate of Return</t>
  </si>
  <si>
    <t>IRR</t>
  </si>
  <si>
    <t>Terminal Value at Perpectual growth</t>
  </si>
  <si>
    <t>FCFF x (1 + growth rate)/Wacc - growth rate)</t>
  </si>
  <si>
    <t>g</t>
  </si>
  <si>
    <t>Terminal value</t>
  </si>
  <si>
    <t>NPV of TV</t>
  </si>
  <si>
    <t>DCF Schedule</t>
  </si>
  <si>
    <t>NPV of explicit period</t>
  </si>
  <si>
    <t>Enterprise value</t>
  </si>
  <si>
    <t>Add cash</t>
  </si>
  <si>
    <t>Less debt</t>
  </si>
  <si>
    <t>Equity Value</t>
  </si>
  <si>
    <t>Percentage Offer</t>
  </si>
  <si>
    <t>Investment offer</t>
  </si>
  <si>
    <t>value</t>
  </si>
  <si>
    <t>Percentage offer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</si>
</sst>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#,##0.0;[Red]\(#,##0.0\)"/>
    <numFmt numFmtId="165" formatCode="0.0%;[Red]\(0.0%\);0.0%"/>
    <numFmt numFmtId="166" formatCode="#,##0.00&quot;x&quot;;[Red]\(#,##0.00&quot;x&quot;\)"/>
    <numFmt numFmtId="167" formatCode="0.0%"/>
    <numFmt numFmtId="168" formatCode="0&quot;F&quot;"/>
    <numFmt numFmtId="169" formatCode="#,##0;[Red]\(#,##0\)"/>
    <numFmt numFmtId="170" formatCode="0.00%;[Red]\(0.00%\);0.00%"/>
    <numFmt numFmtId="171" formatCode="&quot;$&quot;#,##0.0&quot;k&quot;;[Red]\(#,##0.0\)"/>
    <numFmt numFmtId="172" formatCode="#,##0&quot; years&quot;;[Red]\(#,##0.0\)"/>
    <numFmt numFmtId="173" formatCode="\+0.0%;[Red]\-0.0%;0.0%"/>
    <numFmt numFmtId="174" formatCode="#,##0.00;[Red]\(#,##0.00\)"/>
    <numFmt numFmtId="175" formatCode="0.0&quot; years&quot;"/>
    <numFmt numFmtId="176" formatCode="&quot;$&quot;#,##0.0,&quot;m&quot;;[Red]\(#,##0.0\)"/>
  </numFmts>
  <fonts count="32">
    <font>
      <sz val="11.0"/>
      <color theme="1"/>
      <name val="Arial"/>
      <scheme val="minor"/>
    </font>
    <font>
      <sz val="22.0"/>
      <color rgb="FF262626"/>
      <name val="Arial"/>
    </font>
    <font>
      <sz val="16.0"/>
      <color rgb="FF262626"/>
      <name val="Arial"/>
    </font>
    <font>
      <sz val="11.0"/>
      <color rgb="FF262626"/>
      <name val="Arial"/>
    </font>
    <font>
      <sz val="11.0"/>
      <color theme="4"/>
      <name val="Arial"/>
    </font>
    <font>
      <sz val="11.0"/>
      <color rgb="FFC00000"/>
      <name val="Arial"/>
    </font>
    <font>
      <b/>
      <sz val="14.0"/>
      <color theme="4"/>
      <name val="Calibri"/>
    </font>
    <font>
      <i/>
      <sz val="9.0"/>
      <color rgb="FFA5A5A5"/>
      <name val="Arial"/>
    </font>
    <font>
      <sz val="11.0"/>
      <color theme="0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2F5496"/>
      <name val="Arial"/>
    </font>
    <font>
      <b/>
      <sz val="14.0"/>
      <color rgb="FF44546A"/>
      <name val="Arial"/>
    </font>
    <font>
      <b/>
      <sz val="13.0"/>
      <color rgb="FFC00000"/>
      <name val="Calibri"/>
    </font>
    <font>
      <u/>
      <sz val="11.0"/>
      <color rgb="FF262626"/>
      <name val="Arial"/>
    </font>
    <font>
      <b/>
      <u/>
      <sz val="11.0"/>
      <color theme="1"/>
      <name val="Arial"/>
    </font>
    <font>
      <sz val="16.0"/>
      <color theme="0"/>
      <name val="Arial"/>
    </font>
    <font>
      <i/>
      <sz val="9.0"/>
      <color rgb="FF3F3F3F"/>
      <name val="Arial"/>
    </font>
    <font>
      <sz val="9.0"/>
      <color rgb="FF3F3F3F"/>
      <name val="Arial"/>
    </font>
    <font>
      <sz val="10.0"/>
      <color rgb="FF262626"/>
      <name val="Arial"/>
    </font>
    <font>
      <sz val="10.0"/>
      <color rgb="FF002060"/>
      <name val="Arial"/>
    </font>
    <font>
      <sz val="11.0"/>
      <color theme="1"/>
      <name val="Noto Sans Symbols"/>
    </font>
    <font>
      <b/>
      <i/>
      <sz val="10.0"/>
      <color rgb="FFFF0000"/>
      <name val="Arial"/>
    </font>
    <font>
      <i/>
      <sz val="11.0"/>
      <color theme="1"/>
      <name val="Arial"/>
    </font>
    <font>
      <b/>
      <sz val="11.0"/>
      <color rgb="FFFF0000"/>
      <name val="Arial"/>
    </font>
    <font>
      <sz val="10.0"/>
      <color rgb="FF3F3F3F"/>
      <name val="Arial"/>
    </font>
    <font>
      <sz val="8.0"/>
      <color rgb="FF262626"/>
      <name val="Arial"/>
    </font>
    <font>
      <sz val="8.0"/>
      <color rgb="FF7F7F7F"/>
      <name val="Arial"/>
    </font>
    <font>
      <i/>
      <sz val="10.0"/>
      <color rgb="FF595959"/>
      <name val="Arial"/>
    </font>
    <font>
      <i/>
      <sz val="11.0"/>
      <color rgb="FF7F7F7F"/>
      <name val="Arial"/>
    </font>
    <font>
      <i/>
      <sz val="8.0"/>
      <color rgb="FF7F7F7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ECF4FA"/>
        <bgColor rgb="FFECF4FA"/>
      </patternFill>
    </fill>
    <fill>
      <patternFill patternType="solid">
        <fgColor rgb="FF2E75B5"/>
        <bgColor rgb="FF2E75B5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</fills>
  <borders count="9">
    <border/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hair">
        <color rgb="FFC00000"/>
      </left>
      <right style="hair">
        <color rgb="FFC00000"/>
      </right>
      <top style="hair">
        <color rgb="FFC00000"/>
      </top>
      <bottom style="hair">
        <color rgb="FFC00000"/>
      </bottom>
    </border>
    <border>
      <top style="thin">
        <color rgb="FF595959"/>
      </top>
    </border>
    <border>
      <top style="thin">
        <color rgb="FF3F3F3F"/>
      </top>
      <bottom style="double">
        <color rgb="FF3F3F3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164" applyAlignment="1" applyFont="1" applyNumberFormat="1"/>
  </cellStyleXfs>
  <cellXfs count="98">
    <xf borderId="0" fillId="0" fontId="0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4" numFmtId="164" xfId="0" applyFont="1" applyNumberFormat="1"/>
    <xf borderId="0" fillId="0" fontId="5" numFmtId="164" xfId="0" applyFont="1" applyNumberFormat="1"/>
    <xf borderId="0" fillId="0" fontId="6" numFmtId="0" xfId="0" applyFont="1"/>
    <xf borderId="0" fillId="0" fontId="7" numFmtId="0" xfId="0" applyFont="1"/>
    <xf borderId="1" fillId="2" fontId="8" numFmtId="164" xfId="0" applyBorder="1" applyFill="1" applyFont="1" applyNumberFormat="1"/>
    <xf borderId="0" fillId="0" fontId="9" numFmtId="0" xfId="0" applyFont="1"/>
    <xf borderId="2" fillId="3" fontId="4" numFmtId="164" xfId="0" applyAlignment="1" applyBorder="1" applyFill="1" applyFont="1" applyNumberFormat="1">
      <alignment horizontal="right"/>
    </xf>
    <xf borderId="0" fillId="0" fontId="7" numFmtId="164" xfId="0" applyFont="1" applyNumberFormat="1"/>
    <xf borderId="3" fillId="0" fontId="3" numFmtId="164" xfId="0" applyAlignment="1" applyBorder="1" applyFont="1" applyNumberFormat="1">
      <alignment horizontal="right"/>
    </xf>
    <xf borderId="0" fillId="0" fontId="10" numFmtId="164" xfId="0" applyAlignment="1" applyFont="1" applyNumberFormat="1">
      <alignment horizontal="right"/>
    </xf>
    <xf borderId="0" fillId="0" fontId="10" numFmtId="165" xfId="0" applyAlignment="1" applyFont="1" applyNumberFormat="1">
      <alignment horizontal="right"/>
    </xf>
    <xf borderId="0" fillId="0" fontId="10" numFmtId="166" xfId="0" applyAlignment="1" applyFont="1" applyNumberFormat="1">
      <alignment horizontal="right"/>
    </xf>
    <xf borderId="4" fillId="0" fontId="11" numFmtId="164" xfId="0" applyAlignment="1" applyBorder="1" applyFont="1" applyNumberFormat="1">
      <alignment horizontal="right"/>
    </xf>
    <xf borderId="0" fillId="0" fontId="12" numFmtId="167" xfId="0" applyFont="1" applyNumberFormat="1"/>
    <xf borderId="0" fillId="0" fontId="13" numFmtId="164" xfId="0" applyFont="1" applyNumberFormat="1"/>
    <xf borderId="5" fillId="0" fontId="11" numFmtId="164" xfId="0" applyAlignment="1" applyBorder="1" applyFont="1" applyNumberFormat="1">
      <alignment horizontal="right"/>
    </xf>
    <xf borderId="1" fillId="2" fontId="8" numFmtId="164" xfId="0" applyAlignment="1" applyBorder="1" applyFont="1" applyNumberFormat="1">
      <alignment horizontal="right"/>
    </xf>
    <xf borderId="0" fillId="0" fontId="6" numFmtId="164" xfId="0" applyAlignment="1" applyFont="1" applyNumberFormat="1">
      <alignment horizontal="right"/>
    </xf>
    <xf borderId="0" fillId="0" fontId="14" numFmtId="164" xfId="0" applyAlignment="1" applyFont="1" applyNumberFormat="1">
      <alignment horizontal="right"/>
    </xf>
    <xf borderId="0" fillId="0" fontId="3" numFmtId="164" xfId="0" applyFont="1" applyNumberFormat="1"/>
    <xf borderId="0" fillId="0" fontId="15" numFmtId="164" xfId="0" applyFont="1" applyNumberFormat="1"/>
    <xf borderId="1" fillId="4" fontId="10" numFmtId="164" xfId="0" applyBorder="1" applyFill="1" applyFont="1" applyNumberFormat="1"/>
    <xf borderId="2" fillId="5" fontId="10" numFmtId="164" xfId="0" applyBorder="1" applyFill="1" applyFont="1" applyNumberFormat="1"/>
    <xf borderId="2" fillId="6" fontId="10" numFmtId="164" xfId="0" applyBorder="1" applyFill="1" applyFont="1" applyNumberFormat="1"/>
    <xf borderId="2" fillId="7" fontId="10" numFmtId="164" xfId="0" applyBorder="1" applyFill="1" applyFont="1" applyNumberFormat="1"/>
    <xf borderId="2" fillId="8" fontId="10" numFmtId="164" xfId="0" applyBorder="1" applyFill="1" applyFont="1" applyNumberFormat="1"/>
    <xf borderId="2" fillId="3" fontId="4" numFmtId="164" xfId="0" applyBorder="1" applyFont="1" applyNumberFormat="1"/>
    <xf borderId="2" fillId="3" fontId="4" numFmtId="15" xfId="0" applyAlignment="1" applyBorder="1" applyFont="1" applyNumberFormat="1">
      <alignment horizontal="right"/>
    </xf>
    <xf borderId="2" fillId="3" fontId="4" numFmtId="0" xfId="0" applyAlignment="1" applyBorder="1" applyFont="1">
      <alignment horizontal="right"/>
    </xf>
    <xf borderId="0" fillId="0" fontId="10" numFmtId="164" xfId="0" applyAlignment="1" applyFont="1" applyNumberFormat="1">
      <alignment horizontal="left"/>
    </xf>
    <xf borderId="0" fillId="0" fontId="16" numFmtId="164" xfId="0" applyFont="1" applyNumberFormat="1"/>
    <xf borderId="0" fillId="0" fontId="17" numFmtId="164" xfId="0" applyAlignment="1" applyFont="1" applyNumberFormat="1">
      <alignment horizontal="left"/>
    </xf>
    <xf borderId="0" fillId="0" fontId="14" numFmtId="164" xfId="0" applyFont="1" applyNumberFormat="1"/>
    <xf borderId="1" fillId="2" fontId="8" numFmtId="168" xfId="0" applyBorder="1" applyFont="1" applyNumberFormat="1"/>
    <xf borderId="0" fillId="0" fontId="9" numFmtId="164" xfId="0" applyFont="1" applyNumberFormat="1"/>
    <xf borderId="0" fillId="0" fontId="18" numFmtId="164" xfId="0" applyFont="1" applyNumberFormat="1"/>
    <xf borderId="0" fillId="0" fontId="19" numFmtId="164" xfId="0" applyFont="1" applyNumberFormat="1"/>
    <xf borderId="0" fillId="0" fontId="19" numFmtId="165" xfId="0" applyFont="1" applyNumberFormat="1"/>
    <xf borderId="0" fillId="0" fontId="20" numFmtId="164" xfId="0" applyFont="1" applyNumberFormat="1"/>
    <xf borderId="0" fillId="0" fontId="20" numFmtId="15" xfId="0" applyFont="1" applyNumberFormat="1"/>
    <xf borderId="0" fillId="0" fontId="21" numFmtId="164" xfId="0" applyFont="1" applyNumberFormat="1"/>
    <xf borderId="0" fillId="0" fontId="20" numFmtId="0" xfId="0" applyFont="1"/>
    <xf borderId="0" fillId="0" fontId="7" numFmtId="164" xfId="0" applyAlignment="1" applyFont="1" applyNumberFormat="1">
      <alignment horizontal="center" shrinkToFit="0" wrapText="1"/>
    </xf>
    <xf borderId="0" fillId="0" fontId="6" numFmtId="164" xfId="0" applyFont="1" applyNumberFormat="1"/>
    <xf borderId="0" fillId="0" fontId="10" numFmtId="0" xfId="0" applyFont="1"/>
    <xf borderId="0" fillId="0" fontId="10" numFmtId="169" xfId="0" applyFont="1" applyNumberFormat="1"/>
    <xf borderId="0" fillId="0" fontId="22" numFmtId="164" xfId="0" applyFont="1" applyNumberFormat="1"/>
    <xf borderId="0" fillId="0" fontId="23" numFmtId="164" xfId="0" applyFont="1" applyNumberFormat="1"/>
    <xf borderId="3" fillId="0" fontId="3" numFmtId="165" xfId="0" applyBorder="1" applyFont="1" applyNumberFormat="1"/>
    <xf borderId="0" fillId="0" fontId="24" numFmtId="164" xfId="0" applyFont="1" applyNumberFormat="1"/>
    <xf borderId="0" fillId="0" fontId="10" numFmtId="166" xfId="0" applyFont="1" applyNumberFormat="1"/>
    <xf borderId="2" fillId="3" fontId="4" numFmtId="170" xfId="0" applyBorder="1" applyFont="1" applyNumberFormat="1"/>
    <xf borderId="0" fillId="0" fontId="10" numFmtId="165" xfId="0" applyFont="1" applyNumberFormat="1"/>
    <xf borderId="2" fillId="3" fontId="4" numFmtId="166" xfId="0" applyBorder="1" applyFont="1" applyNumberFormat="1"/>
    <xf borderId="0" fillId="0" fontId="11" numFmtId="164" xfId="0" applyFont="1" applyNumberFormat="1"/>
    <xf borderId="0" fillId="0" fontId="19" numFmtId="171" xfId="0" applyFont="1" applyNumberFormat="1"/>
    <xf borderId="5" fillId="0" fontId="11" numFmtId="164" xfId="0" applyBorder="1" applyFont="1" applyNumberFormat="1"/>
    <xf borderId="2" fillId="3" fontId="4" numFmtId="172" xfId="0" applyBorder="1" applyFont="1" applyNumberFormat="1"/>
    <xf borderId="2" fillId="3" fontId="4" numFmtId="164" xfId="0" applyAlignment="1" applyBorder="1" applyFont="1" applyNumberFormat="1">
      <alignment horizontal="center"/>
    </xf>
    <xf borderId="2" fillId="3" fontId="4" numFmtId="0" xfId="0" applyBorder="1" applyFont="1"/>
    <xf borderId="2" fillId="3" fontId="4" numFmtId="167" xfId="0" applyBorder="1" applyFont="1" applyNumberFormat="1"/>
    <xf borderId="0" fillId="0" fontId="25" numFmtId="164" xfId="0" applyFont="1" applyNumberFormat="1"/>
    <xf borderId="0" fillId="0" fontId="8" numFmtId="0" xfId="0" applyFont="1"/>
    <xf borderId="2" fillId="3" fontId="4" numFmtId="173" xfId="0" applyBorder="1" applyFont="1" applyNumberFormat="1"/>
    <xf borderId="0" fillId="0" fontId="26" numFmtId="164" xfId="0" applyFont="1" applyNumberFormat="1"/>
    <xf borderId="3" fillId="0" fontId="3" numFmtId="164" xfId="0" applyBorder="1" applyFont="1" applyNumberFormat="1"/>
    <xf borderId="3" fillId="0" fontId="3" numFmtId="164" xfId="0" applyAlignment="1" applyBorder="1" applyFont="1" applyNumberFormat="1">
      <alignment horizontal="left"/>
    </xf>
    <xf borderId="3" fillId="0" fontId="3" numFmtId="170" xfId="0" applyBorder="1" applyFont="1" applyNumberFormat="1"/>
    <xf borderId="4" fillId="0" fontId="11" numFmtId="164" xfId="0" applyBorder="1" applyFont="1" applyNumberFormat="1"/>
    <xf borderId="3" fillId="0" fontId="3" numFmtId="166" xfId="0" applyBorder="1" applyFont="1" applyNumberFormat="1"/>
    <xf borderId="0" fillId="0" fontId="11" numFmtId="164" xfId="0" applyAlignment="1" applyFont="1" applyNumberFormat="1">
      <alignment horizontal="right"/>
    </xf>
    <xf borderId="6" fillId="0" fontId="11" numFmtId="0" xfId="0" applyBorder="1" applyFont="1"/>
    <xf borderId="6" fillId="0" fontId="10" numFmtId="164" xfId="0" applyBorder="1" applyFont="1" applyNumberFormat="1"/>
    <xf borderId="3" fillId="0" fontId="3" numFmtId="0" xfId="0" applyBorder="1" applyFont="1"/>
    <xf borderId="0" fillId="0" fontId="10" numFmtId="9" xfId="0" applyFont="1" applyNumberFormat="1"/>
    <xf borderId="0" fillId="0" fontId="10" numFmtId="167" xfId="0" applyFont="1" applyNumberFormat="1"/>
    <xf borderId="4" fillId="0" fontId="10" numFmtId="164" xfId="0" applyBorder="1" applyFont="1" applyNumberFormat="1"/>
    <xf borderId="7" fillId="0" fontId="10" numFmtId="164" xfId="0" applyBorder="1" applyFont="1" applyNumberFormat="1"/>
    <xf borderId="0" fillId="0" fontId="27" numFmtId="15" xfId="0" applyFont="1" applyNumberFormat="1"/>
    <xf borderId="0" fillId="0" fontId="28" numFmtId="164" xfId="0" applyAlignment="1" applyFont="1" applyNumberFormat="1">
      <alignment horizontal="center"/>
    </xf>
    <xf borderId="0" fillId="0" fontId="10" numFmtId="164" xfId="0" applyFont="1" applyNumberFormat="1"/>
    <xf borderId="0" fillId="0" fontId="29" numFmtId="164" xfId="0" applyFont="1" applyNumberFormat="1"/>
    <xf borderId="0" fillId="0" fontId="28" numFmtId="165" xfId="0" applyAlignment="1" applyFont="1" applyNumberFormat="1">
      <alignment horizontal="center"/>
    </xf>
    <xf borderId="0" fillId="0" fontId="29" numFmtId="165" xfId="0" applyFont="1" applyNumberFormat="1"/>
    <xf borderId="0" fillId="0" fontId="29" numFmtId="166" xfId="0" applyFont="1" applyNumberFormat="1"/>
    <xf borderId="0" fillId="0" fontId="30" numFmtId="164" xfId="0" applyFont="1" applyNumberFormat="1"/>
    <xf borderId="0" fillId="0" fontId="10" numFmtId="174" xfId="0" applyFont="1" applyNumberFormat="1"/>
    <xf borderId="8" fillId="0" fontId="10" numFmtId="164" xfId="0" applyBorder="1" applyFont="1" applyNumberFormat="1"/>
    <xf borderId="0" fillId="0" fontId="31" numFmtId="164" xfId="0" applyFont="1" applyNumberFormat="1"/>
    <xf borderId="2" fillId="3" fontId="4" numFmtId="174" xfId="0" applyBorder="1" applyFont="1" applyNumberFormat="1"/>
    <xf borderId="0" fillId="0" fontId="11" numFmtId="170" xfId="0" applyFont="1" applyNumberFormat="1"/>
    <xf borderId="0" fillId="0" fontId="11" numFmtId="175" xfId="0" applyFont="1" applyNumberFormat="1"/>
    <xf borderId="0" fillId="0" fontId="11" numFmtId="165" xfId="0" applyFont="1" applyNumberFormat="1"/>
    <xf borderId="0" fillId="0" fontId="19" numFmtId="176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Revenue growth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Analysis!$L$6:$P$6</c:f>
            </c:strRef>
          </c:cat>
          <c:val>
            <c:numRef>
              <c:f>Analysis!$L$21:$P$21</c:f>
              <c:numCache/>
            </c:numRef>
          </c:val>
          <c:smooth val="1"/>
        </c:ser>
        <c:axId val="1956238533"/>
        <c:axId val="919602082"/>
      </c:lineChart>
      <c:catAx>
        <c:axId val="1956238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919602082"/>
      </c:catAx>
      <c:valAx>
        <c:axId val="9196020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623853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Summary!$L$7:$P$7</c:f>
            </c:strRef>
          </c:cat>
          <c:val>
            <c:numRef>
              <c:f>Summary!$L$8:$P$8</c:f>
              <c:numCache/>
            </c:numRef>
          </c:val>
        </c:ser>
        <c:axId val="1703407104"/>
        <c:axId val="1107279848"/>
      </c:barChart>
      <c:lineChart>
        <c:varyColors val="0"/>
        <c:ser>
          <c:idx val="1"/>
          <c:order val="1"/>
          <c:tx>
            <c:v>EBITDA</c:v>
          </c:tx>
          <c:spPr>
            <a:ln cmpd="sng" w="28575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24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cat>
            <c:strRef>
              <c:f>Summary!$L$7:$P$7</c:f>
            </c:strRef>
          </c:cat>
          <c:val>
            <c:numRef>
              <c:f>Summary!$L$10:$P$10</c:f>
              <c:numCache/>
            </c:numRef>
          </c:val>
          <c:smooth val="0"/>
        </c:ser>
        <c:axId val="1703407104"/>
        <c:axId val="1107279848"/>
      </c:lineChart>
      <c:catAx>
        <c:axId val="170340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107279848"/>
      </c:catAx>
      <c:valAx>
        <c:axId val="1107279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340710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hyperlink" Target="#Guide!B19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Guide!B19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Guide!B19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Guide!B19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Guide!B19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Guide!B19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Guide!B19" TargetMode="Externa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hyperlink" Target="#Guide!B1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57150</xdr:rowOff>
    </xdr:from>
    <xdr:ext cx="4600575" cy="1647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7</xdr:row>
      <xdr:rowOff>161925</xdr:rowOff>
    </xdr:from>
    <xdr:ext cx="5057775" cy="2266950"/>
    <xdr:graphicFrame>
      <xdr:nvGraphicFramePr>
        <xdr:cNvPr id="10170928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752475</xdr:colOff>
      <xdr:row>13</xdr:row>
      <xdr:rowOff>95250</xdr:rowOff>
    </xdr:from>
    <xdr:ext cx="4086225" cy="1600200"/>
    <xdr:graphicFrame>
      <xdr:nvGraphicFramePr>
        <xdr:cNvPr id="21653537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142875</xdr:colOff>
      <xdr:row>2</xdr:row>
      <xdr:rowOff>0</xdr:rowOff>
    </xdr:from>
    <xdr:ext cx="581025" cy="190500"/>
    <xdr:sp>
      <xdr:nvSpPr>
        <xdr:cNvPr id="3" name="Shape 3">
          <a:hlinkClick r:id="rId3"/>
        </xdr:cNvPr>
        <xdr:cNvSpPr/>
      </xdr:nvSpPr>
      <xdr:spPr>
        <a:xfrm>
          <a:off x="5060250" y="3689513"/>
          <a:ext cx="571500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14</xdr:col>
      <xdr:colOff>314325</xdr:colOff>
      <xdr:row>3</xdr:row>
      <xdr:rowOff>0</xdr:rowOff>
    </xdr:from>
    <xdr:ext cx="1085850" cy="304800"/>
    <xdr:grpSp>
      <xdr:nvGrpSpPr>
        <xdr:cNvPr id="2" name="Shape 2"/>
        <xdr:cNvGrpSpPr/>
      </xdr:nvGrpSpPr>
      <xdr:grpSpPr>
        <a:xfrm>
          <a:off x="4803075" y="3627600"/>
          <a:ext cx="1085850" cy="304800"/>
          <a:chOff x="4803075" y="3627600"/>
          <a:chExt cx="1085850" cy="304800"/>
        </a:xfrm>
      </xdr:grpSpPr>
      <xdr:grpSp>
        <xdr:nvGrpSpPr>
          <xdr:cNvPr id="4" name="Shape 4"/>
          <xdr:cNvGrpSpPr/>
        </xdr:nvGrpSpPr>
        <xdr:grpSpPr>
          <a:xfrm>
            <a:off x="4803075" y="3627600"/>
            <a:ext cx="1085850" cy="304800"/>
            <a:chOff x="4803074" y="3627600"/>
            <a:chExt cx="1085850" cy="304799"/>
          </a:xfrm>
        </xdr:grpSpPr>
        <xdr:sp>
          <xdr:nvSpPr>
            <xdr:cNvPr id="5" name="Shape 5"/>
            <xdr:cNvSpPr/>
          </xdr:nvSpPr>
          <xdr:spPr>
            <a:xfrm>
              <a:off x="4803074" y="3627600"/>
              <a:ext cx="1085850" cy="304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4803074" y="3627600"/>
              <a:ext cx="1085850" cy="304799"/>
              <a:chOff x="8842583" y="1341631"/>
              <a:chExt cx="1096138" cy="417775"/>
            </a:xfrm>
          </xdr:grpSpPr>
          <xdr:sp>
            <xdr:nvSpPr>
              <xdr:cNvPr id="7" name="Shape 7"/>
              <xdr:cNvSpPr/>
            </xdr:nvSpPr>
            <xdr:spPr>
              <a:xfrm>
                <a:off x="8842583" y="1341631"/>
                <a:ext cx="1096125" cy="417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8850585" y="1341631"/>
                <a:ext cx="1088136" cy="200258"/>
              </a:xfrm>
              <a:prstGeom prst="rect">
                <a:avLst/>
              </a:prstGeom>
              <a:solidFill>
                <a:srgbClr val="3F3F3F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800"/>
                  <a:buFont typeface="Arial"/>
                  <a:buNone/>
                </a:pPr>
                <a:r>
                  <a:rPr lang="en-US" sz="8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Scenario switch</a:t>
                </a:r>
                <a:endParaRPr sz="8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57150</xdr:colOff>
      <xdr:row>5</xdr:row>
      <xdr:rowOff>152400</xdr:rowOff>
    </xdr:from>
    <xdr:ext cx="1085850" cy="390525"/>
    <xdr:grpSp>
      <xdr:nvGrpSpPr>
        <xdr:cNvPr id="2" name="Shape 2"/>
        <xdr:cNvGrpSpPr/>
      </xdr:nvGrpSpPr>
      <xdr:grpSpPr>
        <a:xfrm>
          <a:off x="4803075" y="3584738"/>
          <a:ext cx="1085850" cy="390525"/>
          <a:chOff x="4803075" y="3584738"/>
          <a:chExt cx="1085850" cy="390525"/>
        </a:xfrm>
      </xdr:grpSpPr>
      <xdr:grpSp>
        <xdr:nvGrpSpPr>
          <xdr:cNvPr id="9" name="Shape 9"/>
          <xdr:cNvGrpSpPr/>
        </xdr:nvGrpSpPr>
        <xdr:grpSpPr>
          <a:xfrm>
            <a:off x="4803075" y="3584738"/>
            <a:ext cx="1085850" cy="390525"/>
            <a:chOff x="4803075" y="3584738"/>
            <a:chExt cx="1085839" cy="390520"/>
          </a:xfrm>
        </xdr:grpSpPr>
        <xdr:sp>
          <xdr:nvSpPr>
            <xdr:cNvPr id="5" name="Shape 5"/>
            <xdr:cNvSpPr/>
          </xdr:nvSpPr>
          <xdr:spPr>
            <a:xfrm>
              <a:off x="4803075" y="3584738"/>
              <a:ext cx="1085825" cy="3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" name="Shape 10"/>
            <xdr:cNvGrpSpPr/>
          </xdr:nvGrpSpPr>
          <xdr:grpSpPr>
            <a:xfrm>
              <a:off x="4803075" y="3584738"/>
              <a:ext cx="1085839" cy="390520"/>
              <a:chOff x="400050" y="617731"/>
              <a:chExt cx="1088125" cy="385875"/>
            </a:xfrm>
          </xdr:grpSpPr>
          <xdr:sp>
            <xdr:nvSpPr>
              <xdr:cNvPr id="11" name="Shape 11"/>
              <xdr:cNvSpPr/>
            </xdr:nvSpPr>
            <xdr:spPr>
              <a:xfrm>
                <a:off x="400050" y="617731"/>
                <a:ext cx="1088125" cy="385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2" name="Shape 12"/>
              <xdr:cNvSpPr txBox="1"/>
            </xdr:nvSpPr>
            <xdr:spPr>
              <a:xfrm>
                <a:off x="400050" y="617731"/>
                <a:ext cx="1085830" cy="199227"/>
              </a:xfrm>
              <a:prstGeom prst="rect">
                <a:avLst/>
              </a:prstGeom>
              <a:solidFill>
                <a:srgbClr val="3F3F3F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800"/>
                  <a:buFont typeface="Arial"/>
                  <a:buNone/>
                </a:pPr>
                <a:r>
                  <a:rPr lang="en-US" sz="8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Metrics switch</a:t>
                </a:r>
                <a:endParaRPr sz="8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</xdr:grpSp>
    </xdr:grpSp>
    <xdr:clientData fLocksWithSheet="0"/>
  </xdr:oneCellAnchor>
  <xdr:oneCellAnchor>
    <xdr:from>
      <xdr:col>11</xdr:col>
      <xdr:colOff>495300</xdr:colOff>
      <xdr:row>3</xdr:row>
      <xdr:rowOff>0</xdr:rowOff>
    </xdr:from>
    <xdr:ext cx="1876425" cy="314325"/>
    <xdr:grpSp>
      <xdr:nvGrpSpPr>
        <xdr:cNvPr id="2" name="Shape 2"/>
        <xdr:cNvGrpSpPr/>
      </xdr:nvGrpSpPr>
      <xdr:grpSpPr>
        <a:xfrm>
          <a:off x="4407788" y="3622838"/>
          <a:ext cx="1876425" cy="314325"/>
          <a:chOff x="4407788" y="3622838"/>
          <a:chExt cx="1876425" cy="314325"/>
        </a:xfrm>
      </xdr:grpSpPr>
      <xdr:grpSp>
        <xdr:nvGrpSpPr>
          <xdr:cNvPr id="13" name="Shape 13"/>
          <xdr:cNvGrpSpPr/>
        </xdr:nvGrpSpPr>
        <xdr:grpSpPr>
          <a:xfrm>
            <a:off x="4407788" y="3622838"/>
            <a:ext cx="1876425" cy="314325"/>
            <a:chOff x="4407787" y="3622838"/>
            <a:chExt cx="1876423" cy="314304"/>
          </a:xfrm>
        </xdr:grpSpPr>
        <xdr:sp>
          <xdr:nvSpPr>
            <xdr:cNvPr id="5" name="Shape 5"/>
            <xdr:cNvSpPr/>
          </xdr:nvSpPr>
          <xdr:spPr>
            <a:xfrm>
              <a:off x="4407787" y="3622838"/>
              <a:ext cx="1876400" cy="314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" name="Shape 14"/>
            <xdr:cNvGrpSpPr/>
          </xdr:nvGrpSpPr>
          <xdr:grpSpPr>
            <a:xfrm>
              <a:off x="4407787" y="3622838"/>
              <a:ext cx="1876423" cy="314304"/>
              <a:chOff x="7488719" y="662608"/>
              <a:chExt cx="1864000" cy="323000"/>
            </a:xfrm>
          </xdr:grpSpPr>
          <xdr:sp>
            <xdr:nvSpPr>
              <xdr:cNvPr id="15" name="Shape 15"/>
              <xdr:cNvSpPr/>
            </xdr:nvSpPr>
            <xdr:spPr>
              <a:xfrm>
                <a:off x="7488719" y="662608"/>
                <a:ext cx="1864000" cy="323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6" name="Shape 16"/>
              <xdr:cNvSpPr txBox="1"/>
            </xdr:nvSpPr>
            <xdr:spPr>
              <a:xfrm>
                <a:off x="7901608" y="662608"/>
                <a:ext cx="1083774" cy="149502"/>
              </a:xfrm>
              <a:prstGeom prst="rect">
                <a:avLst/>
              </a:prstGeom>
              <a:solidFill>
                <a:srgbClr val="3F3F3F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800"/>
                  <a:buFont typeface="Arial"/>
                  <a:buNone/>
                </a:pPr>
                <a:r>
                  <a:rPr lang="en-US" sz="8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Line Comparison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4</xdr:col>
      <xdr:colOff>352425</xdr:colOff>
      <xdr:row>2</xdr:row>
      <xdr:rowOff>171450</xdr:rowOff>
    </xdr:from>
    <xdr:ext cx="1085850" cy="428625"/>
    <xdr:grpSp>
      <xdr:nvGrpSpPr>
        <xdr:cNvPr id="2" name="Shape 2"/>
        <xdr:cNvGrpSpPr/>
      </xdr:nvGrpSpPr>
      <xdr:grpSpPr>
        <a:xfrm>
          <a:off x="4803075" y="3565688"/>
          <a:ext cx="1085850" cy="428625"/>
          <a:chOff x="4803075" y="3565688"/>
          <a:chExt cx="1085850" cy="428625"/>
        </a:xfrm>
      </xdr:grpSpPr>
      <xdr:grpSp>
        <xdr:nvGrpSpPr>
          <xdr:cNvPr id="17" name="Shape 17"/>
          <xdr:cNvGrpSpPr/>
        </xdr:nvGrpSpPr>
        <xdr:grpSpPr>
          <a:xfrm>
            <a:off x="4803075" y="3565688"/>
            <a:ext cx="1085850" cy="428625"/>
            <a:chOff x="4803075" y="3565688"/>
            <a:chExt cx="1085850" cy="428625"/>
          </a:xfrm>
        </xdr:grpSpPr>
        <xdr:sp>
          <xdr:nvSpPr>
            <xdr:cNvPr id="5" name="Shape 5"/>
            <xdr:cNvSpPr/>
          </xdr:nvSpPr>
          <xdr:spPr>
            <a:xfrm>
              <a:off x="4803075" y="3565688"/>
              <a:ext cx="1085850" cy="428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" name="Shape 18"/>
            <xdr:cNvGrpSpPr/>
          </xdr:nvGrpSpPr>
          <xdr:grpSpPr>
            <a:xfrm>
              <a:off x="4803075" y="3565688"/>
              <a:ext cx="1085850" cy="428625"/>
              <a:chOff x="2667000" y="609600"/>
              <a:chExt cx="1087386" cy="466725"/>
            </a:xfrm>
          </xdr:grpSpPr>
          <xdr:sp>
            <xdr:nvSpPr>
              <xdr:cNvPr id="19" name="Shape 19"/>
              <xdr:cNvSpPr/>
            </xdr:nvSpPr>
            <xdr:spPr>
              <a:xfrm>
                <a:off x="2667000" y="609600"/>
                <a:ext cx="108737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0" name="Shape 20"/>
              <xdr:cNvSpPr txBox="1"/>
            </xdr:nvSpPr>
            <xdr:spPr>
              <a:xfrm>
                <a:off x="2714625" y="781050"/>
                <a:ext cx="904875" cy="295275"/>
              </a:xfrm>
              <a:prstGeom prst="rect">
                <a:avLst/>
              </a:prstGeom>
              <a:solidFill>
                <a:srgbClr val="F2F2F2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sz="2000"/>
              </a:p>
            </xdr:txBody>
          </xdr:sp>
          <xdr:sp>
            <xdr:nvSpPr>
              <xdr:cNvPr id="21" name="Shape 21"/>
              <xdr:cNvSpPr txBox="1"/>
            </xdr:nvSpPr>
            <xdr:spPr>
              <a:xfrm>
                <a:off x="2667000" y="609600"/>
                <a:ext cx="1087386" cy="148927"/>
              </a:xfrm>
              <a:prstGeom prst="rect">
                <a:avLst/>
              </a:prstGeom>
              <a:solidFill>
                <a:srgbClr val="3F3F3F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800"/>
                  <a:buFont typeface="Arial"/>
                  <a:buNone/>
                </a:pPr>
                <a:r>
                  <a:rPr lang="en-US" sz="8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Capital Investment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5</xdr:col>
      <xdr:colOff>885825</xdr:colOff>
      <xdr:row>2</xdr:row>
      <xdr:rowOff>180975</xdr:rowOff>
    </xdr:from>
    <xdr:ext cx="1095375" cy="428625"/>
    <xdr:grpSp>
      <xdr:nvGrpSpPr>
        <xdr:cNvPr id="2" name="Shape 2"/>
        <xdr:cNvGrpSpPr/>
      </xdr:nvGrpSpPr>
      <xdr:grpSpPr>
        <a:xfrm>
          <a:off x="4798313" y="3565688"/>
          <a:ext cx="1095375" cy="428625"/>
          <a:chOff x="4798313" y="3565688"/>
          <a:chExt cx="1095375" cy="428625"/>
        </a:xfrm>
      </xdr:grpSpPr>
      <xdr:grpSp>
        <xdr:nvGrpSpPr>
          <xdr:cNvPr id="22" name="Shape 22"/>
          <xdr:cNvGrpSpPr/>
        </xdr:nvGrpSpPr>
        <xdr:grpSpPr>
          <a:xfrm>
            <a:off x="4798313" y="3565688"/>
            <a:ext cx="1095375" cy="428625"/>
            <a:chOff x="4798313" y="3565688"/>
            <a:chExt cx="1095375" cy="428625"/>
          </a:xfrm>
        </xdr:grpSpPr>
        <xdr:sp>
          <xdr:nvSpPr>
            <xdr:cNvPr id="5" name="Shape 5"/>
            <xdr:cNvSpPr/>
          </xdr:nvSpPr>
          <xdr:spPr>
            <a:xfrm>
              <a:off x="4798313" y="3565688"/>
              <a:ext cx="1095375" cy="428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" name="Shape 23"/>
            <xdr:cNvGrpSpPr/>
          </xdr:nvGrpSpPr>
          <xdr:grpSpPr>
            <a:xfrm>
              <a:off x="4798313" y="3565688"/>
              <a:ext cx="1095375" cy="428625"/>
              <a:chOff x="2667000" y="609600"/>
              <a:chExt cx="1087386" cy="466725"/>
            </a:xfrm>
          </xdr:grpSpPr>
          <xdr:sp>
            <xdr:nvSpPr>
              <xdr:cNvPr id="24" name="Shape 24"/>
              <xdr:cNvSpPr/>
            </xdr:nvSpPr>
            <xdr:spPr>
              <a:xfrm>
                <a:off x="2667000" y="609600"/>
                <a:ext cx="108737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5" name="Shape 25"/>
              <xdr:cNvSpPr txBox="1"/>
            </xdr:nvSpPr>
            <xdr:spPr>
              <a:xfrm>
                <a:off x="2714625" y="781050"/>
                <a:ext cx="904875" cy="295275"/>
              </a:xfrm>
              <a:prstGeom prst="rect">
                <a:avLst/>
              </a:prstGeom>
              <a:solidFill>
                <a:srgbClr val="F2F2F2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sz="4000"/>
              </a:p>
            </xdr:txBody>
          </xdr:sp>
          <xdr:sp>
            <xdr:nvSpPr>
              <xdr:cNvPr id="26" name="Shape 26"/>
              <xdr:cNvSpPr txBox="1"/>
            </xdr:nvSpPr>
            <xdr:spPr>
              <a:xfrm>
                <a:off x="2667000" y="609600"/>
                <a:ext cx="1087386" cy="148927"/>
              </a:xfrm>
              <a:prstGeom prst="rect">
                <a:avLst/>
              </a:prstGeom>
              <a:solidFill>
                <a:srgbClr val="3F3F3F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800"/>
                  <a:buFont typeface="Arial"/>
                  <a:buNone/>
                </a:pPr>
                <a:r>
                  <a:rPr lang="en-US" sz="8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Net Present Value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7</xdr:col>
      <xdr:colOff>476250</xdr:colOff>
      <xdr:row>2</xdr:row>
      <xdr:rowOff>190500</xdr:rowOff>
    </xdr:from>
    <xdr:ext cx="1095375" cy="428625"/>
    <xdr:grpSp>
      <xdr:nvGrpSpPr>
        <xdr:cNvPr id="2" name="Shape 2"/>
        <xdr:cNvGrpSpPr/>
      </xdr:nvGrpSpPr>
      <xdr:grpSpPr>
        <a:xfrm>
          <a:off x="4798313" y="3565688"/>
          <a:ext cx="1095375" cy="428625"/>
          <a:chOff x="4798313" y="3565688"/>
          <a:chExt cx="1095375" cy="428625"/>
        </a:xfrm>
      </xdr:grpSpPr>
      <xdr:grpSp>
        <xdr:nvGrpSpPr>
          <xdr:cNvPr id="27" name="Shape 27"/>
          <xdr:cNvGrpSpPr/>
        </xdr:nvGrpSpPr>
        <xdr:grpSpPr>
          <a:xfrm>
            <a:off x="4798313" y="3565688"/>
            <a:ext cx="1095375" cy="428625"/>
            <a:chOff x="4798313" y="3565688"/>
            <a:chExt cx="1095375" cy="428625"/>
          </a:xfrm>
        </xdr:grpSpPr>
        <xdr:sp>
          <xdr:nvSpPr>
            <xdr:cNvPr id="5" name="Shape 5"/>
            <xdr:cNvSpPr/>
          </xdr:nvSpPr>
          <xdr:spPr>
            <a:xfrm>
              <a:off x="4798313" y="3565688"/>
              <a:ext cx="1095375" cy="428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" name="Shape 28"/>
            <xdr:cNvGrpSpPr/>
          </xdr:nvGrpSpPr>
          <xdr:grpSpPr>
            <a:xfrm>
              <a:off x="4798313" y="3565688"/>
              <a:ext cx="1095375" cy="428625"/>
              <a:chOff x="2667000" y="609600"/>
              <a:chExt cx="1087386" cy="466725"/>
            </a:xfrm>
          </xdr:grpSpPr>
          <xdr:sp>
            <xdr:nvSpPr>
              <xdr:cNvPr id="29" name="Shape 29"/>
              <xdr:cNvSpPr/>
            </xdr:nvSpPr>
            <xdr:spPr>
              <a:xfrm>
                <a:off x="2667000" y="609600"/>
                <a:ext cx="1087375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0" name="Shape 30"/>
              <xdr:cNvSpPr txBox="1"/>
            </xdr:nvSpPr>
            <xdr:spPr>
              <a:xfrm>
                <a:off x="2714625" y="781050"/>
                <a:ext cx="904875" cy="295275"/>
              </a:xfrm>
              <a:prstGeom prst="rect">
                <a:avLst/>
              </a:prstGeom>
              <a:solidFill>
                <a:srgbClr val="F2F2F2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sz="7200"/>
              </a:p>
            </xdr:txBody>
          </xdr:sp>
          <xdr:sp>
            <xdr:nvSpPr>
              <xdr:cNvPr id="31" name="Shape 31"/>
              <xdr:cNvSpPr txBox="1"/>
            </xdr:nvSpPr>
            <xdr:spPr>
              <a:xfrm>
                <a:off x="2667000" y="609600"/>
                <a:ext cx="1087386" cy="148927"/>
              </a:xfrm>
              <a:prstGeom prst="rect">
                <a:avLst/>
              </a:prstGeom>
              <a:solidFill>
                <a:srgbClr val="3F3F3F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lt1"/>
                  </a:buClr>
                  <a:buSzPts val="800"/>
                  <a:buFont typeface="Arial"/>
                  <a:buNone/>
                </a:pPr>
                <a:r>
                  <a:rPr lang="en-US" sz="800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DCF Valuation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2</xdr:row>
      <xdr:rowOff>0</xdr:rowOff>
    </xdr:from>
    <xdr:ext cx="581025" cy="190500"/>
    <xdr:sp>
      <xdr:nvSpPr>
        <xdr:cNvPr id="32" name="Shape 32">
          <a:hlinkClick r:id="rId1"/>
        </xdr:cNvPr>
        <xdr:cNvSpPr/>
      </xdr:nvSpPr>
      <xdr:spPr>
        <a:xfrm>
          <a:off x="5060250" y="3689513"/>
          <a:ext cx="571500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2</xdr:row>
      <xdr:rowOff>9525</xdr:rowOff>
    </xdr:from>
    <xdr:ext cx="581025" cy="190500"/>
    <xdr:sp>
      <xdr:nvSpPr>
        <xdr:cNvPr id="33" name="Shape 33">
          <a:hlinkClick r:id="rId1"/>
        </xdr:cNvPr>
        <xdr:cNvSpPr/>
      </xdr:nvSpPr>
      <xdr:spPr>
        <a:xfrm>
          <a:off x="5060250" y="3689513"/>
          <a:ext cx="571500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0</xdr:rowOff>
    </xdr:from>
    <xdr:ext cx="571500" cy="190500"/>
    <xdr:sp>
      <xdr:nvSpPr>
        <xdr:cNvPr id="34" name="Shape 34">
          <a:hlinkClick r:id="rId1"/>
        </xdr:cNvPr>
        <xdr:cNvSpPr/>
      </xdr:nvSpPr>
      <xdr:spPr>
        <a:xfrm>
          <a:off x="5065013" y="3689513"/>
          <a:ext cx="561975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76200</xdr:colOff>
      <xdr:row>2</xdr:row>
      <xdr:rowOff>9525</xdr:rowOff>
    </xdr:from>
    <xdr:ext cx="581025" cy="190500"/>
    <xdr:sp>
      <xdr:nvSpPr>
        <xdr:cNvPr id="35" name="Shape 35">
          <a:hlinkClick r:id="rId1"/>
        </xdr:cNvPr>
        <xdr:cNvSpPr/>
      </xdr:nvSpPr>
      <xdr:spPr>
        <a:xfrm>
          <a:off x="5060250" y="3689513"/>
          <a:ext cx="571500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2</xdr:row>
      <xdr:rowOff>9525</xdr:rowOff>
    </xdr:from>
    <xdr:ext cx="581025" cy="190500"/>
    <xdr:sp>
      <xdr:nvSpPr>
        <xdr:cNvPr id="36" name="Shape 36">
          <a:hlinkClick r:id="rId1"/>
        </xdr:cNvPr>
        <xdr:cNvSpPr/>
      </xdr:nvSpPr>
      <xdr:spPr>
        <a:xfrm>
          <a:off x="5060250" y="3689513"/>
          <a:ext cx="571500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2</xdr:row>
      <xdr:rowOff>0</xdr:rowOff>
    </xdr:from>
    <xdr:ext cx="581025" cy="190500"/>
    <xdr:sp>
      <xdr:nvSpPr>
        <xdr:cNvPr id="37" name="Shape 37">
          <a:hlinkClick r:id="rId1"/>
        </xdr:cNvPr>
        <xdr:cNvSpPr/>
      </xdr:nvSpPr>
      <xdr:spPr>
        <a:xfrm>
          <a:off x="5060250" y="3689513"/>
          <a:ext cx="571500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2</xdr:row>
      <xdr:rowOff>0</xdr:rowOff>
    </xdr:from>
    <xdr:ext cx="581025" cy="190500"/>
    <xdr:sp>
      <xdr:nvSpPr>
        <xdr:cNvPr id="38" name="Shape 38">
          <a:hlinkClick r:id="rId1"/>
        </xdr:cNvPr>
        <xdr:cNvSpPr/>
      </xdr:nvSpPr>
      <xdr:spPr>
        <a:xfrm>
          <a:off x="5060250" y="3689513"/>
          <a:ext cx="571500" cy="180975"/>
        </a:xfrm>
        <a:prstGeom prst="roundRect">
          <a:avLst>
            <a:gd fmla="val 16667" name="adj"/>
          </a:avLst>
        </a:prstGeom>
        <a:solidFill>
          <a:srgbClr val="262626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9.0"/>
    <col customWidth="1" min="7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1" ht="2.25" customHeight="1"/>
    <row r="12">
      <c r="C12" s="1"/>
    </row>
    <row r="13">
      <c r="C13" s="2" t="str">
        <f>Guide!F34</f>
        <v>Distributor</v>
      </c>
    </row>
    <row r="14" ht="14.25" customHeight="1">
      <c r="C14" s="3" t="str">
        <f>Guide!F35</f>
        <v>USA</v>
      </c>
    </row>
    <row r="15" ht="14.25" customHeight="1">
      <c r="B15" s="4" t="s">
        <v>0</v>
      </c>
      <c r="C15" s="4"/>
    </row>
    <row r="16" ht="14.25" customHeight="1">
      <c r="B16" s="5" t="str">
        <f>"Model Objective: "&amp;Guide!F42</f>
        <v>Model Objective: To raise Funding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 outlineLevelRow="2"/>
  <cols>
    <col customWidth="1" min="1" max="3" width="1.38"/>
    <col customWidth="1" min="4" max="4" width="22.88"/>
    <col customWidth="1" min="5" max="5" width="1.0"/>
    <col customWidth="1" min="6" max="6" width="15.38"/>
    <col customWidth="1" min="7" max="7" width="1.63"/>
    <col customWidth="1" min="8" max="26" width="8.63"/>
  </cols>
  <sheetData>
    <row r="1" ht="14.25" customHeight="1"/>
    <row r="2" ht="14.25" customHeight="1">
      <c r="B2" s="6" t="s">
        <v>1</v>
      </c>
    </row>
    <row r="3" ht="14.25" customHeight="1" outlineLevel="1">
      <c r="C3" s="7" t="s">
        <v>2</v>
      </c>
    </row>
    <row r="4" ht="14.25" customHeight="1" outlineLevel="2">
      <c r="C4" s="7"/>
      <c r="D4" s="8" t="s">
        <v>3</v>
      </c>
      <c r="E4" s="8"/>
      <c r="F4" s="8" t="s">
        <v>4</v>
      </c>
      <c r="G4" s="8"/>
      <c r="H4" s="8" t="s">
        <v>5</v>
      </c>
    </row>
    <row r="5" ht="14.25" customHeight="1" outlineLevel="2">
      <c r="D5" s="9" t="s">
        <v>6</v>
      </c>
      <c r="F5" s="10">
        <v>12345.0</v>
      </c>
      <c r="H5" s="11" t="s">
        <v>7</v>
      </c>
    </row>
    <row r="6" ht="14.25" customHeight="1" outlineLevel="2">
      <c r="D6" s="9" t="s">
        <v>8</v>
      </c>
      <c r="F6" s="12">
        <v>12345.0</v>
      </c>
      <c r="H6" s="11" t="s">
        <v>9</v>
      </c>
    </row>
    <row r="7" ht="14.25" customHeight="1" outlineLevel="2">
      <c r="D7" s="9" t="s">
        <v>10</v>
      </c>
      <c r="F7" s="13">
        <v>12345.0</v>
      </c>
      <c r="H7" s="11" t="s">
        <v>11</v>
      </c>
    </row>
    <row r="8" ht="14.25" customHeight="1" outlineLevel="2">
      <c r="D8" s="9" t="s">
        <v>12</v>
      </c>
      <c r="F8" s="14">
        <v>0.055</v>
      </c>
      <c r="H8" s="11" t="s">
        <v>13</v>
      </c>
    </row>
    <row r="9" ht="14.25" customHeight="1" outlineLevel="2">
      <c r="D9" s="9" t="s">
        <v>14</v>
      </c>
      <c r="F9" s="15">
        <v>5.5</v>
      </c>
      <c r="H9" s="11" t="s">
        <v>15</v>
      </c>
    </row>
    <row r="10" ht="14.25" customHeight="1" outlineLevel="2">
      <c r="D10" s="9" t="s">
        <v>16</v>
      </c>
      <c r="F10" s="16">
        <v>12345.0</v>
      </c>
      <c r="G10" s="17"/>
      <c r="H10" s="11" t="s">
        <v>17</v>
      </c>
    </row>
    <row r="11" ht="14.25" customHeight="1" outlineLevel="2">
      <c r="D11" s="9" t="s">
        <v>18</v>
      </c>
      <c r="E11" s="18"/>
      <c r="F11" s="19">
        <v>12345.0</v>
      </c>
      <c r="H11" s="11" t="s">
        <v>19</v>
      </c>
    </row>
    <row r="12" ht="14.25" customHeight="1" outlineLevel="2">
      <c r="D12" s="9" t="s">
        <v>20</v>
      </c>
      <c r="F12" s="20" t="s">
        <v>21</v>
      </c>
      <c r="H12" s="11" t="s">
        <v>22</v>
      </c>
    </row>
    <row r="13" ht="14.25" customHeight="1" outlineLevel="2">
      <c r="D13" s="9" t="s">
        <v>23</v>
      </c>
      <c r="F13" s="21" t="s">
        <v>21</v>
      </c>
      <c r="H13" s="11" t="s">
        <v>24</v>
      </c>
    </row>
    <row r="14" ht="14.25" customHeight="1" outlineLevel="2">
      <c r="D14" s="9" t="s">
        <v>25</v>
      </c>
      <c r="F14" s="22" t="s">
        <v>21</v>
      </c>
      <c r="H14" s="11" t="s">
        <v>26</v>
      </c>
    </row>
    <row r="15" ht="14.25" customHeight="1" outlineLevel="2"/>
    <row r="16" ht="14.25" customHeight="1"/>
    <row r="17" ht="14.25" customHeight="1">
      <c r="B17" s="6" t="s">
        <v>27</v>
      </c>
    </row>
    <row r="18" ht="14.25" customHeight="1" outlineLevel="1">
      <c r="C18" s="11" t="s">
        <v>28</v>
      </c>
    </row>
    <row r="19" ht="14.25" customHeight="1" outlineLevel="2">
      <c r="C19" s="11"/>
      <c r="D19" s="8" t="s">
        <v>3</v>
      </c>
      <c r="E19" s="8"/>
      <c r="F19" s="8" t="s">
        <v>29</v>
      </c>
    </row>
    <row r="20" ht="14.25" customHeight="1" outlineLevel="2">
      <c r="C20" s="23"/>
      <c r="D20" s="24" t="s">
        <v>30</v>
      </c>
      <c r="F20" s="25"/>
      <c r="H20" s="11" t="s">
        <v>31</v>
      </c>
    </row>
    <row r="21" ht="14.25" customHeight="1" outlineLevel="2">
      <c r="C21" s="23"/>
      <c r="D21" s="24" t="s">
        <v>32</v>
      </c>
      <c r="F21" s="26"/>
      <c r="H21" s="11" t="s">
        <v>33</v>
      </c>
    </row>
    <row r="22" ht="14.25" customHeight="1" outlineLevel="2">
      <c r="C22" s="23"/>
      <c r="D22" s="24" t="s">
        <v>34</v>
      </c>
      <c r="F22" s="27"/>
      <c r="H22" s="11" t="s">
        <v>35</v>
      </c>
    </row>
    <row r="23" ht="6.75" customHeight="1" outlineLevel="2">
      <c r="C23" s="23"/>
      <c r="D23" s="23"/>
    </row>
    <row r="24" ht="14.25" customHeight="1" outlineLevel="2">
      <c r="C24" s="23"/>
      <c r="D24" s="24" t="s">
        <v>36</v>
      </c>
      <c r="F24" s="28"/>
      <c r="H24" s="11" t="s">
        <v>37</v>
      </c>
    </row>
    <row r="25" ht="14.25" customHeight="1" outlineLevel="2">
      <c r="C25" s="23"/>
      <c r="D25" s="24" t="s">
        <v>38</v>
      </c>
      <c r="F25" s="28"/>
      <c r="H25" s="11" t="s">
        <v>39</v>
      </c>
    </row>
    <row r="26" ht="14.25" customHeight="1" outlineLevel="2">
      <c r="C26" s="23"/>
      <c r="D26" s="24" t="s">
        <v>40</v>
      </c>
      <c r="F26" s="28"/>
      <c r="H26" s="11" t="s">
        <v>41</v>
      </c>
    </row>
    <row r="27" ht="8.25" customHeight="1" outlineLevel="2">
      <c r="C27" s="23"/>
      <c r="D27" s="23"/>
    </row>
    <row r="28" ht="14.25" customHeight="1" outlineLevel="2">
      <c r="C28" s="23"/>
      <c r="D28" s="24" t="s">
        <v>42</v>
      </c>
      <c r="F28" s="29"/>
      <c r="H28" s="11" t="s">
        <v>43</v>
      </c>
    </row>
    <row r="29" ht="14.25" customHeight="1" outlineLevel="2"/>
    <row r="30" ht="14.25" customHeight="1"/>
    <row r="31" ht="14.25" customHeight="1">
      <c r="B31" s="6" t="s">
        <v>44</v>
      </c>
      <c r="G31" s="17"/>
    </row>
    <row r="32" ht="14.25" customHeight="1" outlineLevel="1">
      <c r="C32" s="11" t="s">
        <v>45</v>
      </c>
      <c r="E32" s="18"/>
    </row>
    <row r="33" ht="14.25" customHeight="1" outlineLevel="2">
      <c r="D33" s="9" t="s">
        <v>46</v>
      </c>
      <c r="F33" s="30" t="s">
        <v>47</v>
      </c>
    </row>
    <row r="34" ht="14.25" customHeight="1" outlineLevel="2">
      <c r="D34" s="9" t="s">
        <v>48</v>
      </c>
      <c r="F34" s="10" t="s">
        <v>49</v>
      </c>
    </row>
    <row r="35" ht="14.25" customHeight="1" outlineLevel="2">
      <c r="D35" s="9" t="s">
        <v>50</v>
      </c>
      <c r="F35" s="10" t="s">
        <v>51</v>
      </c>
    </row>
    <row r="36" ht="14.25" customHeight="1" outlineLevel="2">
      <c r="D36" s="9" t="s">
        <v>52</v>
      </c>
      <c r="F36" s="10" t="s">
        <v>53</v>
      </c>
    </row>
    <row r="37" ht="14.25" customHeight="1" outlineLevel="2">
      <c r="D37" s="9" t="s">
        <v>54</v>
      </c>
      <c r="F37" s="10"/>
    </row>
    <row r="38" ht="14.25" customHeight="1" outlineLevel="2">
      <c r="D38" s="9" t="s">
        <v>55</v>
      </c>
      <c r="F38" s="10"/>
    </row>
    <row r="39" ht="14.25" customHeight="1" outlineLevel="2">
      <c r="D39" s="9" t="s">
        <v>56</v>
      </c>
      <c r="F39" s="31">
        <v>44562.0</v>
      </c>
    </row>
    <row r="40" ht="14.25" customHeight="1" outlineLevel="2">
      <c r="D40" s="9" t="s">
        <v>57</v>
      </c>
      <c r="F40" s="32">
        <v>5.0</v>
      </c>
    </row>
    <row r="41" ht="14.25" customHeight="1" outlineLevel="2">
      <c r="D41" s="9" t="s">
        <v>58</v>
      </c>
      <c r="F41" s="32">
        <v>12.0</v>
      </c>
    </row>
    <row r="42" ht="14.25" customHeight="1" outlineLevel="2">
      <c r="D42" s="9" t="s">
        <v>59</v>
      </c>
      <c r="F42" s="32" t="s">
        <v>60</v>
      </c>
    </row>
    <row r="43" ht="14.25" customHeight="1" outlineLevel="2"/>
    <row r="44" ht="14.25" customHeight="1"/>
    <row r="45" ht="14.25" customHeight="1">
      <c r="B45" s="6" t="s">
        <v>61</v>
      </c>
    </row>
    <row r="46" ht="14.25" customHeight="1" outlineLevel="1">
      <c r="C46" s="11" t="s">
        <v>62</v>
      </c>
    </row>
    <row r="47" ht="14.25" customHeight="1" outlineLevel="2">
      <c r="D47" s="8" t="s">
        <v>63</v>
      </c>
      <c r="E47" s="8"/>
      <c r="F47" s="8" t="s">
        <v>64</v>
      </c>
    </row>
    <row r="48" ht="14.25" customHeight="1" outlineLevel="2">
      <c r="D48" s="9" t="s">
        <v>65</v>
      </c>
      <c r="F48" s="9" t="s">
        <v>34</v>
      </c>
    </row>
    <row r="49" ht="14.25" customHeight="1" outlineLevel="2">
      <c r="D49" s="9" t="s">
        <v>66</v>
      </c>
      <c r="F49" s="9" t="s">
        <v>36</v>
      </c>
    </row>
    <row r="50" ht="14.25" customHeight="1" outlineLevel="2">
      <c r="D50" s="9" t="s">
        <v>67</v>
      </c>
      <c r="F50" s="9" t="s">
        <v>68</v>
      </c>
    </row>
    <row r="51" ht="14.25" customHeight="1" outlineLevel="2">
      <c r="D51" s="9" t="s">
        <v>69</v>
      </c>
      <c r="F51" s="9" t="s">
        <v>70</v>
      </c>
    </row>
    <row r="52" ht="14.25" customHeight="1" outlineLevel="2">
      <c r="D52" s="9" t="s">
        <v>71</v>
      </c>
      <c r="F52" s="9" t="s">
        <v>72</v>
      </c>
    </row>
    <row r="53" ht="14.25" customHeight="1" outlineLevel="2">
      <c r="D53" s="9" t="s">
        <v>73</v>
      </c>
      <c r="F53" s="33">
        <v>1000.0</v>
      </c>
    </row>
    <row r="54" ht="14.25" customHeight="1" outlineLevel="2"/>
    <row r="55" ht="14.25" customHeight="1" outlineLevel="2">
      <c r="D55" s="34" t="s">
        <v>74</v>
      </c>
    </row>
    <row r="56" ht="14.25" customHeight="1" outlineLevel="2">
      <c r="D56" s="9" t="s">
        <v>75</v>
      </c>
    </row>
    <row r="57" ht="14.25" customHeight="1" outlineLevel="2">
      <c r="D57" s="9" t="s">
        <v>76</v>
      </c>
    </row>
    <row r="58" ht="14.25" customHeight="1" outlineLevel="2">
      <c r="D58" s="9" t="s">
        <v>77</v>
      </c>
    </row>
    <row r="59" ht="14.25" customHeight="1" outlineLevel="2">
      <c r="D59" s="9" t="s">
        <v>78</v>
      </c>
    </row>
    <row r="60" ht="14.25" customHeight="1" outlineLevel="2"/>
    <row r="61" ht="14.25" customHeight="1" outlineLevel="2">
      <c r="D61" s="34" t="s">
        <v>79</v>
      </c>
    </row>
    <row r="62" ht="14.25" customHeight="1" outlineLevel="2">
      <c r="D62" s="9" t="s">
        <v>80</v>
      </c>
      <c r="E62" s="9" t="s">
        <v>81</v>
      </c>
    </row>
    <row r="63" ht="14.25" customHeight="1" outlineLevel="2">
      <c r="D63" s="9" t="s">
        <v>82</v>
      </c>
      <c r="E63" s="9" t="s">
        <v>83</v>
      </c>
    </row>
    <row r="64" ht="14.25" customHeight="1" outlineLevel="2">
      <c r="D64" s="9" t="s">
        <v>84</v>
      </c>
      <c r="E64" s="9" t="s">
        <v>85</v>
      </c>
    </row>
    <row r="65" ht="14.25" customHeight="1" outlineLevel="2">
      <c r="D65" s="9" t="s">
        <v>86</v>
      </c>
      <c r="E65" s="9" t="s">
        <v>87</v>
      </c>
    </row>
    <row r="66" ht="14.25" customHeight="1" outlineLevel="2">
      <c r="D66" s="9" t="s">
        <v>88</v>
      </c>
      <c r="E66" s="9" t="s">
        <v>89</v>
      </c>
    </row>
    <row r="67" ht="14.25" customHeight="1" outlineLevel="2">
      <c r="D67" s="9" t="s">
        <v>90</v>
      </c>
      <c r="E67" s="9" t="s">
        <v>91</v>
      </c>
    </row>
    <row r="68" ht="14.25" customHeight="1" outlineLevel="2">
      <c r="D68" s="9" t="s">
        <v>92</v>
      </c>
      <c r="E68" s="9" t="s">
        <v>93</v>
      </c>
    </row>
    <row r="69" ht="14.25" customHeight="1" outlineLevel="2">
      <c r="D69" s="9" t="s">
        <v>94</v>
      </c>
      <c r="E69" s="9" t="s">
        <v>95</v>
      </c>
    </row>
    <row r="70" ht="14.25" customHeight="1" outlineLevel="2">
      <c r="D70" s="9" t="s">
        <v>96</v>
      </c>
      <c r="E70" s="9" t="s">
        <v>97</v>
      </c>
    </row>
    <row r="71" ht="14.25" customHeight="1" outlineLevel="2">
      <c r="D71" s="9" t="s">
        <v>98</v>
      </c>
      <c r="E71" s="9" t="s">
        <v>99</v>
      </c>
    </row>
    <row r="72" ht="14.25" customHeight="1" outlineLevel="2"/>
    <row r="73" ht="14.25" customHeight="1" outlineLevel="2"/>
    <row r="74" ht="14.25" customHeight="1" outlineLevel="2"/>
    <row r="75" ht="14.25" customHeight="1" outlineLevel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Model Summary" location="Summary!A1" ref="D20"/>
    <hyperlink display="Inputs/Assumption" location="Inputs!A1" ref="D21"/>
    <hyperlink display="Calculations" location="Calc!A1" ref="D22"/>
    <hyperlink display="Profit or Loss Account" location="PL!A1" ref="D24"/>
    <hyperlink display="Balance Sheet" location="BS!A1" ref="D25"/>
    <hyperlink display="Cashflow Statement" location="CF!A1" ref="D26"/>
    <hyperlink display="Analysis" location="Analysis!A1" ref="D28"/>
  </hyperlink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3" width="2.5"/>
    <col customWidth="1" min="4" max="4" width="22.88"/>
    <col customWidth="1" min="5" max="5" width="9.0"/>
    <col customWidth="1" min="6" max="6" width="12.25"/>
    <col customWidth="1" min="7" max="8" width="9.0"/>
    <col customWidth="1" min="9" max="9" width="1.38"/>
    <col customWidth="1" min="10" max="10" width="9.75"/>
    <col customWidth="1" min="11" max="11" width="10.88"/>
    <col customWidth="1" min="12" max="16" width="9.38"/>
    <col customWidth="1" min="17" max="26" width="8.63"/>
  </cols>
  <sheetData>
    <row r="1" ht="14.25" customHeight="1"/>
    <row r="2" ht="14.25" customHeight="1">
      <c r="B2" s="35" t="str">
        <f>Guide!$F$33</f>
        <v>TOWV Bootcamp Limited</v>
      </c>
    </row>
    <row r="3" ht="14.25" customHeight="1">
      <c r="B3" s="36" t="s">
        <v>100</v>
      </c>
    </row>
    <row r="4" ht="14.25" customHeight="1"/>
    <row r="5" ht="14.25" customHeight="1"/>
    <row r="6" ht="14.25" customHeight="1"/>
    <row r="7" ht="14.25" customHeight="1">
      <c r="L7" s="37">
        <f>Inputs!L6</f>
        <v>2022</v>
      </c>
      <c r="M7" s="37">
        <f>Inputs!M6</f>
        <v>2023</v>
      </c>
      <c r="N7" s="37">
        <f>Inputs!N6</f>
        <v>2024</v>
      </c>
      <c r="O7" s="37">
        <f>Inputs!O6</f>
        <v>2025</v>
      </c>
      <c r="P7" s="37">
        <f>Inputs!P6</f>
        <v>2026</v>
      </c>
    </row>
    <row r="8" ht="18.75" customHeight="1">
      <c r="J8" s="9" t="str">
        <f>Analysis!D38</f>
        <v>Revenue</v>
      </c>
      <c r="K8" s="9"/>
      <c r="L8" s="38">
        <f>Analysis!L38</f>
        <v>901.2</v>
      </c>
      <c r="M8" s="38">
        <f>Analysis!M38</f>
        <v>941.754</v>
      </c>
      <c r="N8" s="38">
        <f>Analysis!N38</f>
        <v>993.55047</v>
      </c>
      <c r="O8" s="38">
        <f>Analysis!O38</f>
        <v>1093.402292</v>
      </c>
      <c r="P8" s="38">
        <f>Analysis!P38</f>
        <v>1120.73735</v>
      </c>
    </row>
    <row r="9" ht="18.75" customHeight="1">
      <c r="J9" s="39" t="s">
        <v>101</v>
      </c>
      <c r="K9" s="40"/>
      <c r="L9" s="41">
        <v>0.0</v>
      </c>
      <c r="M9" s="41">
        <f t="shared" ref="M9:P9" si="1">M8/L8-1</f>
        <v>0.045</v>
      </c>
      <c r="N9" s="41">
        <f t="shared" si="1"/>
        <v>0.055</v>
      </c>
      <c r="O9" s="41">
        <f t="shared" si="1"/>
        <v>0.1005</v>
      </c>
      <c r="P9" s="41">
        <f t="shared" si="1"/>
        <v>0.025</v>
      </c>
    </row>
    <row r="10" ht="18.75" customHeight="1">
      <c r="J10" s="38" t="str">
        <f>Analysis!D39</f>
        <v>EBITDA</v>
      </c>
      <c r="K10" s="9"/>
      <c r="L10" s="38">
        <f>Analysis!L39</f>
        <v>132.37</v>
      </c>
      <c r="M10" s="38">
        <f>Analysis!M39</f>
        <v>181.362045</v>
      </c>
      <c r="N10" s="38">
        <f>Analysis!N39</f>
        <v>185.6603864</v>
      </c>
      <c r="O10" s="38">
        <f>Analysis!O39</f>
        <v>198.7578609</v>
      </c>
      <c r="P10" s="38">
        <f>Analysis!P39</f>
        <v>185.2981542</v>
      </c>
    </row>
    <row r="11" ht="18.75" customHeight="1">
      <c r="J11" s="39" t="s">
        <v>102</v>
      </c>
      <c r="K11" s="40"/>
      <c r="L11" s="41">
        <f t="shared" ref="L11:P11" si="2">L10/L8</f>
        <v>0.1468819352</v>
      </c>
      <c r="M11" s="41">
        <f t="shared" si="2"/>
        <v>0.1925790015</v>
      </c>
      <c r="N11" s="41">
        <f t="shared" si="2"/>
        <v>0.1868655816</v>
      </c>
      <c r="O11" s="41">
        <f t="shared" si="2"/>
        <v>0.1817792613</v>
      </c>
      <c r="P11" s="41">
        <f t="shared" si="2"/>
        <v>0.165335932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hidden="1" customHeight="1"/>
    <row r="23" ht="14.25" hidden="1" customHeight="1"/>
    <row r="24" ht="14.25" hidden="1" customHeight="1"/>
    <row r="25" ht="14.25" hidden="1" customHeight="1"/>
    <row r="26" ht="14.25" hidden="1" customHeight="1"/>
    <row r="27" ht="14.25" hidden="1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  <extLst>
    <ext uri="{05C60535-1F16-4fd2-B633-F4F36F0B64E0}">
      <x14:sparklineGroups>
        <x14:sparklineGroup displayEmptyCellsAs="gap">
          <x14:colorSeries rgb="FF376092"/>
          <x14:sparklines>
            <x14:sparkline>
              <xm:f>Summary!L8:P8</xm:f>
              <xm:sqref>K8</xm:sqref>
            </x14:sparkline>
          </x14:sparklines>
        </x14:sparklineGroup>
        <x14:sparklineGroup displayEmptyCellsAs="gap">
          <x14:colorSeries rgb="FF376092"/>
          <x14:sparklines>
            <x14:sparkline>
              <xm:f>Summary!L9:P9</xm:f>
              <xm:sqref>K9</xm:sqref>
            </x14:sparkline>
          </x14:sparklines>
        </x14:sparklineGroup>
        <x14:sparklineGroup displayEmptyCellsAs="gap">
          <x14:colorSeries rgb="FF376092"/>
          <x14:sparklines>
            <x14:sparkline>
              <xm:f>Summary!L10:P10</xm:f>
              <xm:sqref>K10</xm:sqref>
            </x14:sparkline>
          </x14:sparklines>
        </x14:sparklineGroup>
        <x14:sparklineGroup displayEmptyCellsAs="gap">
          <x14:colorSeries rgb="FF376092"/>
          <x14:sparklines>
            <x14:sparkline>
              <xm:f>Summary!L11:P11</xm:f>
              <xm:sqref>K11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outlinePr summaryBelow="0" summaryRight="0"/>
    <pageSetUpPr fitToPage="1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0" outlineLevelRow="2"/>
  <cols>
    <col customWidth="1" min="1" max="3" width="2.0"/>
    <col customWidth="1" min="4" max="4" width="25.75"/>
    <col customWidth="1" min="5" max="5" width="9.0"/>
    <col customWidth="1" min="6" max="6" width="12.25"/>
    <col customWidth="1" min="7" max="8" width="8.63"/>
    <col customWidth="1" min="9" max="10" width="1.38"/>
    <col customWidth="1" min="11" max="11" width="10.88"/>
    <col customWidth="1" min="12" max="12" width="10.0"/>
    <col customWidth="1" min="13" max="16" width="9.38"/>
    <col customWidth="1" min="17" max="26" width="8.63"/>
  </cols>
  <sheetData>
    <row r="1" ht="8.25" customHeight="1">
      <c r="E1" s="11"/>
    </row>
    <row r="2" ht="14.25" customHeight="1">
      <c r="B2" s="35" t="str">
        <f>Guide!$F$33</f>
        <v>TOWV Bootcamp Limited</v>
      </c>
    </row>
    <row r="3" ht="14.25" customHeight="1">
      <c r="B3" s="36" t="s">
        <v>103</v>
      </c>
      <c r="E3" s="11"/>
    </row>
    <row r="4" ht="14.25" customHeight="1">
      <c r="E4" s="11"/>
      <c r="G4" s="11" t="s">
        <v>104</v>
      </c>
      <c r="K4" s="42"/>
      <c r="L4" s="43">
        <f t="shared" ref="L4:P4" si="1">K5+1</f>
        <v>44562</v>
      </c>
      <c r="M4" s="43">
        <f t="shared" si="1"/>
        <v>44927</v>
      </c>
      <c r="N4" s="43">
        <f t="shared" si="1"/>
        <v>45292</v>
      </c>
      <c r="O4" s="43">
        <f t="shared" si="1"/>
        <v>45658</v>
      </c>
      <c r="P4" s="43">
        <f t="shared" si="1"/>
        <v>46023</v>
      </c>
    </row>
    <row r="5" ht="14.25" customHeight="1">
      <c r="C5" s="44" t="str">
        <f>Scenario</f>
        <v>Live Scenario: Base Case</v>
      </c>
      <c r="E5" s="11"/>
      <c r="G5" s="11" t="s">
        <v>105</v>
      </c>
      <c r="K5" s="43">
        <f>Guide!F39-1</f>
        <v>44561</v>
      </c>
      <c r="L5" s="43">
        <f>EDATE(K5,Guide!$F$41)</f>
        <v>44926</v>
      </c>
      <c r="M5" s="43">
        <f>EDATE(L5,Guide!$F$41)</f>
        <v>45291</v>
      </c>
      <c r="N5" s="43">
        <f>EDATE(M5,Guide!$F$41)</f>
        <v>45657</v>
      </c>
      <c r="O5" s="43">
        <f>EDATE(N5,Guide!$F$41)</f>
        <v>46022</v>
      </c>
      <c r="P5" s="43">
        <f>EDATE(O5,Guide!$F$41)</f>
        <v>46387</v>
      </c>
    </row>
    <row r="6" ht="14.25" customHeight="1">
      <c r="C6" s="44" t="s">
        <v>106</v>
      </c>
      <c r="E6" s="11"/>
      <c r="G6" s="11" t="s">
        <v>107</v>
      </c>
      <c r="K6" s="42"/>
      <c r="L6" s="45">
        <f t="shared" ref="L6:P6" si="2">YEAR(L4)</f>
        <v>2022</v>
      </c>
      <c r="M6" s="45">
        <f t="shared" si="2"/>
        <v>2023</v>
      </c>
      <c r="N6" s="45">
        <f t="shared" si="2"/>
        <v>2024</v>
      </c>
      <c r="O6" s="45">
        <f t="shared" si="2"/>
        <v>2025</v>
      </c>
      <c r="P6" s="45">
        <f t="shared" si="2"/>
        <v>2026</v>
      </c>
    </row>
    <row r="7" ht="14.25" customHeight="1">
      <c r="D7" s="11" t="s">
        <v>108</v>
      </c>
      <c r="E7" s="11" t="s">
        <v>109</v>
      </c>
      <c r="F7" s="46" t="s">
        <v>110</v>
      </c>
      <c r="G7" s="11" t="s">
        <v>111</v>
      </c>
      <c r="H7" s="11" t="s">
        <v>112</v>
      </c>
    </row>
    <row r="8" ht="14.25" customHeight="1">
      <c r="E8" s="11"/>
    </row>
    <row r="9" ht="14.25" customHeight="1">
      <c r="B9" s="47" t="s">
        <v>113</v>
      </c>
      <c r="E9" s="11"/>
    </row>
    <row r="10" ht="14.25" customHeight="1" outlineLevel="1">
      <c r="C10" s="36" t="s">
        <v>114</v>
      </c>
      <c r="E10" s="11"/>
    </row>
    <row r="11" ht="14.25" customHeight="1" outlineLevel="2">
      <c r="D11" s="9" t="s">
        <v>115</v>
      </c>
      <c r="L11" s="48">
        <f t="shared" ref="L11:P11" si="3">K11+1</f>
        <v>1</v>
      </c>
      <c r="M11" s="48">
        <f t="shared" si="3"/>
        <v>2</v>
      </c>
      <c r="N11" s="48">
        <f t="shared" si="3"/>
        <v>3</v>
      </c>
      <c r="O11" s="48">
        <f t="shared" si="3"/>
        <v>4</v>
      </c>
      <c r="P11" s="48">
        <f t="shared" si="3"/>
        <v>5</v>
      </c>
    </row>
    <row r="12" ht="14.25" customHeight="1" outlineLevel="2">
      <c r="D12" s="9" t="s">
        <v>116</v>
      </c>
      <c r="E12" s="11" t="s">
        <v>117</v>
      </c>
      <c r="L12" s="49">
        <f t="shared" ref="L12:P12" si="4">L5-K5</f>
        <v>365</v>
      </c>
      <c r="M12" s="49">
        <f t="shared" si="4"/>
        <v>365</v>
      </c>
      <c r="N12" s="49">
        <f t="shared" si="4"/>
        <v>366</v>
      </c>
      <c r="O12" s="49">
        <f t="shared" si="4"/>
        <v>365</v>
      </c>
      <c r="P12" s="49">
        <f t="shared" si="4"/>
        <v>365</v>
      </c>
    </row>
    <row r="13" ht="14.25" customHeight="1" outlineLevel="2">
      <c r="D13" s="9" t="s">
        <v>58</v>
      </c>
      <c r="E13" s="11" t="s">
        <v>118</v>
      </c>
      <c r="F13" s="50"/>
      <c r="L13" s="49">
        <f t="shared" ref="L13:P13" si="5">DATEDIF(K5,L5,"m")</f>
        <v>12</v>
      </c>
      <c r="M13" s="49">
        <f t="shared" si="5"/>
        <v>12</v>
      </c>
      <c r="N13" s="49">
        <f t="shared" si="5"/>
        <v>12</v>
      </c>
      <c r="O13" s="49">
        <f t="shared" si="5"/>
        <v>12</v>
      </c>
      <c r="P13" s="49">
        <f t="shared" si="5"/>
        <v>12</v>
      </c>
    </row>
    <row r="14" ht="14.25" customHeight="1" outlineLevel="2">
      <c r="E14" s="11"/>
    </row>
    <row r="15" ht="14.25" customHeight="1" outlineLevel="1">
      <c r="C15" s="36" t="s">
        <v>119</v>
      </c>
      <c r="E15" s="11"/>
    </row>
    <row r="16" ht="14.25" customHeight="1" outlineLevel="2">
      <c r="D16" s="34" t="s">
        <v>120</v>
      </c>
      <c r="E16" s="11"/>
    </row>
    <row r="17" ht="14.25" customHeight="1" outlineLevel="2">
      <c r="D17" s="9" t="s">
        <v>121</v>
      </c>
      <c r="E17" s="11" t="s">
        <v>122</v>
      </c>
      <c r="F17" s="51" t="s">
        <v>123</v>
      </c>
      <c r="L17" s="52">
        <f>Scenarios!L18</f>
        <v>0</v>
      </c>
      <c r="M17" s="52">
        <f>Scenarios!M18</f>
        <v>0.025</v>
      </c>
      <c r="N17" s="52">
        <f>Scenarios!N18</f>
        <v>0.0245</v>
      </c>
      <c r="O17" s="52">
        <f>Scenarios!O18</f>
        <v>0.0237</v>
      </c>
      <c r="P17" s="52">
        <f>Scenarios!P18</f>
        <v>0.0225</v>
      </c>
      <c r="R17" s="53"/>
    </row>
    <row r="18" ht="14.25" customHeight="1" outlineLevel="2">
      <c r="D18" s="9" t="s">
        <v>124</v>
      </c>
      <c r="E18" s="11" t="s">
        <v>125</v>
      </c>
      <c r="L18" s="54">
        <f t="shared" ref="L18:P18" si="6">(1+L17)^(L11-1)</f>
        <v>1</v>
      </c>
      <c r="M18" s="54">
        <f t="shared" si="6"/>
        <v>1.025</v>
      </c>
      <c r="N18" s="54">
        <f t="shared" si="6"/>
        <v>1.04960025</v>
      </c>
      <c r="O18" s="54">
        <f t="shared" si="6"/>
        <v>1.072798382</v>
      </c>
      <c r="P18" s="54">
        <f t="shared" si="6"/>
        <v>1.093083319</v>
      </c>
    </row>
    <row r="19" ht="14.25" customHeight="1" outlineLevel="2">
      <c r="E19" s="11"/>
    </row>
    <row r="20" ht="14.25" customHeight="1" outlineLevel="2">
      <c r="D20" s="34" t="s">
        <v>126</v>
      </c>
      <c r="E20" s="11"/>
    </row>
    <row r="21" ht="14.25" customHeight="1" outlineLevel="2">
      <c r="D21" s="9" t="s">
        <v>127</v>
      </c>
      <c r="E21" s="11" t="s">
        <v>122</v>
      </c>
      <c r="L21" s="55">
        <v>0.0</v>
      </c>
      <c r="M21" s="55">
        <v>0.0</v>
      </c>
      <c r="N21" s="55">
        <v>0.0</v>
      </c>
      <c r="O21" s="55">
        <v>0.0</v>
      </c>
      <c r="P21" s="55">
        <v>0.0</v>
      </c>
    </row>
    <row r="22" ht="14.25" customHeight="1" outlineLevel="2">
      <c r="E22" s="11"/>
    </row>
    <row r="23" ht="14.25" customHeight="1" outlineLevel="2">
      <c r="D23" s="34" t="s">
        <v>128</v>
      </c>
      <c r="E23" s="11"/>
      <c r="F23" s="51" t="s">
        <v>123</v>
      </c>
    </row>
    <row r="24" ht="14.25" customHeight="1" outlineLevel="2">
      <c r="D24" s="9" t="s">
        <v>129</v>
      </c>
      <c r="E24" s="11" t="s">
        <v>122</v>
      </c>
      <c r="F24" s="55">
        <v>0.045</v>
      </c>
      <c r="G24" s="56"/>
      <c r="L24" s="52">
        <f>Scenarios!L25</f>
        <v>0</v>
      </c>
      <c r="M24" s="52">
        <f>Scenarios!M25</f>
        <v>0.045</v>
      </c>
      <c r="N24" s="52">
        <f>Scenarios!N25</f>
        <v>0.055</v>
      </c>
      <c r="O24" s="52">
        <f>Scenarios!O25</f>
        <v>0.1005</v>
      </c>
      <c r="P24" s="52">
        <f>Scenarios!P25</f>
        <v>0.025</v>
      </c>
    </row>
    <row r="25" ht="14.25" customHeight="1" outlineLevel="2">
      <c r="E25" s="11"/>
    </row>
    <row r="26" ht="14.25" customHeight="1" outlineLevel="2">
      <c r="D26" s="34" t="s">
        <v>130</v>
      </c>
      <c r="E26" s="11"/>
      <c r="L26" s="48"/>
    </row>
    <row r="27" ht="14.25" customHeight="1" outlineLevel="2">
      <c r="D27" s="9" t="s">
        <v>131</v>
      </c>
      <c r="E27" s="11" t="s">
        <v>122</v>
      </c>
      <c r="L27" s="55">
        <v>0.21</v>
      </c>
      <c r="M27" s="55">
        <v>0.21</v>
      </c>
      <c r="N27" s="55">
        <v>0.21</v>
      </c>
      <c r="O27" s="55">
        <v>0.21</v>
      </c>
      <c r="P27" s="55">
        <v>0.21</v>
      </c>
    </row>
    <row r="28" ht="14.25" customHeight="1" outlineLevel="2">
      <c r="E28" s="11"/>
    </row>
    <row r="29" ht="14.25" customHeight="1" outlineLevel="2">
      <c r="D29" s="34" t="s">
        <v>132</v>
      </c>
      <c r="E29" s="11"/>
    </row>
    <row r="30" ht="14.25" customHeight="1" outlineLevel="2">
      <c r="D30" s="9" t="s">
        <v>133</v>
      </c>
      <c r="E30" s="11" t="s">
        <v>134</v>
      </c>
      <c r="L30" s="57">
        <v>1.0</v>
      </c>
      <c r="M30" s="57">
        <v>1.025</v>
      </c>
      <c r="N30" s="57">
        <v>1.04960025</v>
      </c>
      <c r="O30" s="57">
        <v>1.0727983820530003</v>
      </c>
      <c r="P30" s="57">
        <v>1.0930833187890623</v>
      </c>
    </row>
    <row r="31" ht="14.25" customHeight="1" outlineLevel="2">
      <c r="E31" s="11"/>
    </row>
    <row r="32" ht="14.25" customHeight="1">
      <c r="B32" s="47" t="s">
        <v>135</v>
      </c>
      <c r="E32" s="11"/>
    </row>
    <row r="33" ht="14.25" customHeight="1" outlineLevel="1">
      <c r="C33" s="36" t="s">
        <v>136</v>
      </c>
      <c r="E33" s="11"/>
    </row>
    <row r="34" ht="14.25" customHeight="1" outlineLevel="2">
      <c r="D34" s="34" t="s">
        <v>137</v>
      </c>
      <c r="E34" s="11"/>
    </row>
    <row r="35" ht="14.25" customHeight="1" outlineLevel="2">
      <c r="D35" s="9" t="s">
        <v>138</v>
      </c>
      <c r="E35" s="11" t="str">
        <f>Currency</f>
        <v>$</v>
      </c>
      <c r="L35" s="30">
        <v>100000.0</v>
      </c>
      <c r="M35" s="30">
        <v>0.0</v>
      </c>
      <c r="N35" s="30">
        <v>0.0</v>
      </c>
      <c r="O35" s="30">
        <v>0.0</v>
      </c>
      <c r="P35" s="30">
        <v>0.0</v>
      </c>
    </row>
    <row r="36" ht="14.25" customHeight="1" outlineLevel="2">
      <c r="D36" s="34" t="s">
        <v>139</v>
      </c>
      <c r="E36" s="11"/>
    </row>
    <row r="37" ht="14.25" customHeight="1" outlineLevel="2">
      <c r="D37" s="9" t="s">
        <v>140</v>
      </c>
      <c r="E37" s="11" t="str">
        <f>Currency</f>
        <v>$</v>
      </c>
      <c r="L37" s="30">
        <v>150000.0</v>
      </c>
      <c r="M37" s="30">
        <v>0.0</v>
      </c>
      <c r="N37" s="30">
        <v>0.0</v>
      </c>
      <c r="O37" s="30">
        <v>0.0</v>
      </c>
      <c r="P37" s="30">
        <v>0.0</v>
      </c>
    </row>
    <row r="38" ht="14.25" customHeight="1" outlineLevel="2">
      <c r="D38" s="58" t="s">
        <v>141</v>
      </c>
      <c r="E38" s="11" t="str">
        <f>Currency</f>
        <v>$</v>
      </c>
      <c r="G38" s="59">
        <f>SUM(L38:P38)/Div</f>
        <v>250</v>
      </c>
      <c r="L38" s="60">
        <f t="shared" ref="L38:P38" si="7">L35+L37</f>
        <v>250000</v>
      </c>
      <c r="M38" s="60">
        <f t="shared" si="7"/>
        <v>0</v>
      </c>
      <c r="N38" s="60">
        <f t="shared" si="7"/>
        <v>0</v>
      </c>
      <c r="O38" s="60">
        <f t="shared" si="7"/>
        <v>0</v>
      </c>
      <c r="P38" s="60">
        <f t="shared" si="7"/>
        <v>0</v>
      </c>
    </row>
    <row r="39" ht="14.25" customHeight="1" outlineLevel="2">
      <c r="E39" s="11"/>
    </row>
    <row r="40" ht="14.25" customHeight="1" outlineLevel="1">
      <c r="C40" s="36" t="s">
        <v>142</v>
      </c>
      <c r="E40" s="11"/>
    </row>
    <row r="41" ht="14.25" customHeight="1" outlineLevel="2">
      <c r="D41" s="34" t="s">
        <v>143</v>
      </c>
      <c r="E41" s="11"/>
    </row>
    <row r="42" ht="14.25" customHeight="1" outlineLevel="2">
      <c r="D42" s="9" t="s">
        <v>144</v>
      </c>
      <c r="E42" s="11" t="s">
        <v>145</v>
      </c>
      <c r="F42" s="61">
        <v>4.0</v>
      </c>
    </row>
    <row r="43" ht="14.25" customHeight="1" outlineLevel="2">
      <c r="D43" s="9" t="s">
        <v>146</v>
      </c>
      <c r="E43" s="11" t="s">
        <v>122</v>
      </c>
      <c r="L43" s="55">
        <v>0.0716</v>
      </c>
      <c r="M43" s="55">
        <v>0.0716</v>
      </c>
      <c r="N43" s="55">
        <v>0.0716</v>
      </c>
      <c r="O43" s="55">
        <v>0.0716</v>
      </c>
      <c r="P43" s="55">
        <v>0.0716</v>
      </c>
    </row>
    <row r="44" ht="14.25" customHeight="1" outlineLevel="2">
      <c r="E44" s="11"/>
    </row>
    <row r="45" ht="14.25" customHeight="1" outlineLevel="2">
      <c r="D45" s="34" t="s">
        <v>140</v>
      </c>
      <c r="E45" s="11"/>
    </row>
    <row r="46" ht="14.25" customHeight="1" outlineLevel="2">
      <c r="D46" s="9" t="s">
        <v>147</v>
      </c>
      <c r="E46" s="11" t="s">
        <v>122</v>
      </c>
      <c r="L46" s="55">
        <v>0.3</v>
      </c>
      <c r="M46" s="55">
        <v>0.3</v>
      </c>
      <c r="N46" s="55">
        <v>0.3</v>
      </c>
      <c r="O46" s="55">
        <v>0.3</v>
      </c>
      <c r="P46" s="55">
        <v>0.3</v>
      </c>
    </row>
    <row r="47" ht="14.25" customHeight="1" outlineLevel="2">
      <c r="E47" s="11"/>
    </row>
    <row r="48" ht="14.25" customHeight="1" outlineLevel="1">
      <c r="C48" s="36" t="s">
        <v>148</v>
      </c>
      <c r="E48" s="11"/>
    </row>
    <row r="49" ht="14.25" customHeight="1" outlineLevel="2">
      <c r="D49" s="34" t="s">
        <v>149</v>
      </c>
      <c r="E49" s="11"/>
      <c r="F49" s="13" t="s">
        <v>150</v>
      </c>
    </row>
    <row r="50" ht="14.25" customHeight="1" outlineLevel="2">
      <c r="D50" s="9" t="s">
        <v>151</v>
      </c>
      <c r="E50" s="11" t="str">
        <f>Currency</f>
        <v>$</v>
      </c>
      <c r="L50" s="30">
        <v>1500.0</v>
      </c>
      <c r="M50" s="30">
        <v>0.0</v>
      </c>
      <c r="N50" s="30">
        <v>0.0</v>
      </c>
      <c r="O50" s="30">
        <v>0.0</v>
      </c>
      <c r="P50" s="30">
        <v>0.0</v>
      </c>
    </row>
    <row r="51" ht="14.25" customHeight="1" outlineLevel="2">
      <c r="D51" s="9" t="s">
        <v>152</v>
      </c>
      <c r="E51" s="11" t="str">
        <f>Currency</f>
        <v>$</v>
      </c>
      <c r="L51" s="30">
        <v>1500.0</v>
      </c>
      <c r="M51" s="30">
        <v>0.0</v>
      </c>
      <c r="N51" s="30">
        <v>0.0</v>
      </c>
      <c r="O51" s="30">
        <v>0.0</v>
      </c>
      <c r="P51" s="30">
        <v>0.0</v>
      </c>
    </row>
    <row r="52" ht="14.25" customHeight="1" outlineLevel="2">
      <c r="D52" s="9" t="s">
        <v>153</v>
      </c>
      <c r="E52" s="11" t="str">
        <f>Currency</f>
        <v>$</v>
      </c>
      <c r="L52" s="30">
        <v>3000.0</v>
      </c>
      <c r="M52" s="30">
        <v>0.0</v>
      </c>
      <c r="N52" s="30">
        <v>0.0</v>
      </c>
      <c r="O52" s="30">
        <v>0.0</v>
      </c>
      <c r="P52" s="30">
        <v>0.0</v>
      </c>
    </row>
    <row r="53" ht="14.25" customHeight="1" outlineLevel="2">
      <c r="D53" s="9" t="s">
        <v>154</v>
      </c>
      <c r="E53" s="11" t="str">
        <f>Currency</f>
        <v>$</v>
      </c>
      <c r="L53" s="30">
        <v>2500.0</v>
      </c>
      <c r="M53" s="30">
        <v>0.0</v>
      </c>
      <c r="N53" s="30">
        <v>0.0</v>
      </c>
      <c r="O53" s="30">
        <v>0.0</v>
      </c>
      <c r="P53" s="30">
        <v>0.0</v>
      </c>
    </row>
    <row r="54" ht="14.25" customHeight="1" outlineLevel="2">
      <c r="D54" s="34" t="s">
        <v>155</v>
      </c>
      <c r="E54" s="11"/>
    </row>
    <row r="55" ht="14.25" customHeight="1" outlineLevel="2">
      <c r="D55" s="9" t="s">
        <v>156</v>
      </c>
      <c r="E55" s="11" t="str">
        <f>Currency</f>
        <v>$</v>
      </c>
      <c r="F55" s="62">
        <v>5.0</v>
      </c>
      <c r="L55" s="30">
        <v>25000.0</v>
      </c>
      <c r="M55" s="30">
        <v>0.0</v>
      </c>
      <c r="N55" s="30">
        <v>0.0</v>
      </c>
      <c r="O55" s="30">
        <v>0.0</v>
      </c>
      <c r="P55" s="30">
        <v>0.0</v>
      </c>
    </row>
    <row r="56" ht="14.25" customHeight="1" outlineLevel="2">
      <c r="D56" s="9" t="s">
        <v>157</v>
      </c>
      <c r="E56" s="11" t="str">
        <f>Currency</f>
        <v>$</v>
      </c>
      <c r="F56" s="62">
        <v>5.0</v>
      </c>
      <c r="L56" s="30">
        <v>15000.0</v>
      </c>
      <c r="M56" s="30">
        <v>0.0</v>
      </c>
      <c r="N56" s="30">
        <v>0.0</v>
      </c>
      <c r="O56" s="30">
        <v>0.0</v>
      </c>
      <c r="P56" s="30">
        <v>0.0</v>
      </c>
    </row>
    <row r="57" ht="14.25" customHeight="1" outlineLevel="2">
      <c r="D57" s="9" t="s">
        <v>158</v>
      </c>
      <c r="E57" s="11" t="str">
        <f>Currency</f>
        <v>$</v>
      </c>
      <c r="F57" s="62">
        <v>5.0</v>
      </c>
      <c r="L57" s="30">
        <v>3000.0</v>
      </c>
      <c r="M57" s="30">
        <v>0.0</v>
      </c>
      <c r="N57" s="30">
        <v>0.0</v>
      </c>
      <c r="O57" s="30">
        <v>0.0</v>
      </c>
      <c r="P57" s="30">
        <v>0.0</v>
      </c>
    </row>
    <row r="58" ht="14.25" customHeight="1" outlineLevel="2">
      <c r="D58" s="9" t="s">
        <v>159</v>
      </c>
      <c r="E58" s="11" t="str">
        <f>Currency</f>
        <v>$</v>
      </c>
      <c r="F58" s="62">
        <v>5.0</v>
      </c>
      <c r="L58" s="30">
        <v>10000.0</v>
      </c>
      <c r="M58" s="30">
        <v>0.0</v>
      </c>
      <c r="N58" s="30">
        <v>0.0</v>
      </c>
      <c r="O58" s="30">
        <v>0.0</v>
      </c>
      <c r="P58" s="30">
        <v>0.0</v>
      </c>
    </row>
    <row r="59" ht="14.25" customHeight="1" outlineLevel="2">
      <c r="D59" s="34" t="s">
        <v>160</v>
      </c>
      <c r="E59" s="11"/>
    </row>
    <row r="60" ht="14.25" customHeight="1" outlineLevel="2">
      <c r="D60" s="9" t="s">
        <v>161</v>
      </c>
      <c r="E60" s="11" t="str">
        <f>Currency</f>
        <v>$</v>
      </c>
      <c r="L60" s="30">
        <v>75000.0</v>
      </c>
      <c r="M60" s="30">
        <v>0.0</v>
      </c>
      <c r="N60" s="30">
        <v>0.0</v>
      </c>
      <c r="O60" s="30">
        <v>0.0</v>
      </c>
      <c r="P60" s="30">
        <v>0.0</v>
      </c>
    </row>
    <row r="61" ht="14.25" customHeight="1" outlineLevel="2">
      <c r="D61" s="34" t="s">
        <v>162</v>
      </c>
      <c r="E61" s="11"/>
    </row>
    <row r="62" ht="14.25" customHeight="1" outlineLevel="2">
      <c r="D62" s="9" t="s">
        <v>163</v>
      </c>
      <c r="E62" s="11" t="str">
        <f>Currency</f>
        <v>$</v>
      </c>
      <c r="L62" s="30">
        <v>30000.0</v>
      </c>
      <c r="M62" s="30">
        <v>0.0</v>
      </c>
      <c r="N62" s="30">
        <v>0.0</v>
      </c>
      <c r="O62" s="30">
        <v>0.0</v>
      </c>
      <c r="P62" s="30">
        <v>0.0</v>
      </c>
    </row>
    <row r="63" ht="14.25" customHeight="1" outlineLevel="2">
      <c r="D63" s="9" t="s">
        <v>164</v>
      </c>
      <c r="E63" s="11" t="str">
        <f>Currency</f>
        <v>$</v>
      </c>
      <c r="L63" s="30">
        <v>10000.0</v>
      </c>
      <c r="M63" s="30">
        <v>0.0</v>
      </c>
      <c r="N63" s="30">
        <v>0.0</v>
      </c>
      <c r="O63" s="30">
        <v>0.0</v>
      </c>
      <c r="P63" s="30">
        <v>0.0</v>
      </c>
    </row>
    <row r="64" ht="14.25" customHeight="1" outlineLevel="2">
      <c r="D64" s="34" t="s">
        <v>165</v>
      </c>
      <c r="E64" s="11"/>
    </row>
    <row r="65" ht="14.25" customHeight="1" outlineLevel="2">
      <c r="D65" s="9" t="s">
        <v>166</v>
      </c>
      <c r="E65" s="11" t="str">
        <f>Currency</f>
        <v>$</v>
      </c>
      <c r="L65" s="30">
        <v>15000.0</v>
      </c>
      <c r="M65" s="30">
        <v>0.0</v>
      </c>
      <c r="N65" s="30">
        <v>0.0</v>
      </c>
      <c r="O65" s="30">
        <v>0.0</v>
      </c>
      <c r="P65" s="30">
        <v>0.0</v>
      </c>
    </row>
    <row r="66" ht="14.25" customHeight="1" outlineLevel="2">
      <c r="D66" s="9" t="s">
        <v>167</v>
      </c>
      <c r="E66" s="11" t="str">
        <f>Currency</f>
        <v>$</v>
      </c>
      <c r="L66" s="30">
        <v>5000.0</v>
      </c>
      <c r="M66" s="30">
        <v>0.0</v>
      </c>
      <c r="N66" s="30">
        <v>0.0</v>
      </c>
      <c r="O66" s="30">
        <v>0.0</v>
      </c>
      <c r="P66" s="30">
        <v>0.0</v>
      </c>
    </row>
    <row r="67" ht="14.25" customHeight="1" outlineLevel="2">
      <c r="D67" s="9" t="s">
        <v>168</v>
      </c>
      <c r="E67" s="11" t="str">
        <f>Currency</f>
        <v>$</v>
      </c>
      <c r="L67" s="38">
        <f t="shared" ref="L67:P67" si="8">L38-SUM(L50:L66)</f>
        <v>53500</v>
      </c>
      <c r="M67" s="38">
        <f t="shared" si="8"/>
        <v>0</v>
      </c>
      <c r="N67" s="38">
        <f t="shared" si="8"/>
        <v>0</v>
      </c>
      <c r="O67" s="38">
        <f t="shared" si="8"/>
        <v>0</v>
      </c>
      <c r="P67" s="38">
        <f t="shared" si="8"/>
        <v>0</v>
      </c>
    </row>
    <row r="68" ht="14.25" customHeight="1" outlineLevel="2">
      <c r="D68" s="58" t="s">
        <v>169</v>
      </c>
      <c r="E68" s="11" t="str">
        <f>Currency</f>
        <v>$</v>
      </c>
      <c r="L68" s="60">
        <f t="shared" ref="L68:P68" si="9">SUM(L50:L67)</f>
        <v>250000</v>
      </c>
      <c r="M68" s="60">
        <f t="shared" si="9"/>
        <v>0</v>
      </c>
      <c r="N68" s="60">
        <f t="shared" si="9"/>
        <v>0</v>
      </c>
      <c r="O68" s="60">
        <f t="shared" si="9"/>
        <v>0</v>
      </c>
      <c r="P68" s="60">
        <f t="shared" si="9"/>
        <v>0</v>
      </c>
    </row>
    <row r="69" ht="14.25" customHeight="1" outlineLevel="2">
      <c r="E69" s="11"/>
    </row>
    <row r="70" ht="14.25" customHeight="1" outlineLevel="2">
      <c r="E70" s="11"/>
    </row>
    <row r="71" ht="14.25" customHeight="1">
      <c r="B71" s="47" t="s">
        <v>170</v>
      </c>
      <c r="E71" s="11"/>
    </row>
    <row r="72" ht="14.25" customHeight="1" outlineLevel="1">
      <c r="C72" s="36" t="s">
        <v>171</v>
      </c>
      <c r="E72" s="11"/>
    </row>
    <row r="73" ht="14.25" customHeight="1" outlineLevel="2">
      <c r="D73" s="34" t="s">
        <v>155</v>
      </c>
      <c r="E73" s="11"/>
    </row>
    <row r="74" ht="14.25" customHeight="1" outlineLevel="2">
      <c r="D74" s="9" t="s">
        <v>172</v>
      </c>
      <c r="E74" s="11" t="s">
        <v>117</v>
      </c>
      <c r="L74" s="30">
        <v>40.0</v>
      </c>
      <c r="M74" s="30">
        <v>40.0</v>
      </c>
      <c r="N74" s="30">
        <v>40.0</v>
      </c>
      <c r="O74" s="30">
        <v>40.0</v>
      </c>
      <c r="P74" s="30">
        <v>40.0</v>
      </c>
    </row>
    <row r="75" ht="14.25" customHeight="1" outlineLevel="2">
      <c r="D75" s="9" t="s">
        <v>173</v>
      </c>
      <c r="E75" s="11" t="s">
        <v>117</v>
      </c>
      <c r="L75" s="30">
        <v>25.0</v>
      </c>
      <c r="M75" s="30">
        <v>25.0</v>
      </c>
      <c r="N75" s="30">
        <v>25.0</v>
      </c>
      <c r="O75" s="30">
        <v>25.0</v>
      </c>
      <c r="P75" s="30">
        <v>25.0</v>
      </c>
    </row>
    <row r="76" ht="14.25" customHeight="1" outlineLevel="2">
      <c r="D76" s="9" t="s">
        <v>174</v>
      </c>
      <c r="E76" s="11" t="s">
        <v>117</v>
      </c>
      <c r="L76" s="30">
        <v>30.0</v>
      </c>
      <c r="M76" s="30">
        <v>30.0</v>
      </c>
      <c r="N76" s="30">
        <v>30.0</v>
      </c>
      <c r="O76" s="30">
        <v>30.0</v>
      </c>
      <c r="P76" s="30">
        <v>30.0</v>
      </c>
    </row>
    <row r="77" ht="14.25" customHeight="1" outlineLevel="2">
      <c r="E77" s="11"/>
    </row>
    <row r="78" ht="14.25" customHeight="1" outlineLevel="2">
      <c r="D78" s="34" t="s">
        <v>175</v>
      </c>
      <c r="E78" s="11"/>
    </row>
    <row r="79" ht="14.25" customHeight="1" outlineLevel="2">
      <c r="D79" s="9" t="s">
        <v>176</v>
      </c>
      <c r="E79" s="11" t="s">
        <v>117</v>
      </c>
      <c r="L79" s="30">
        <v>30.0</v>
      </c>
      <c r="M79" s="30">
        <v>30.0</v>
      </c>
      <c r="N79" s="30">
        <v>30.0</v>
      </c>
      <c r="O79" s="30">
        <v>30.0</v>
      </c>
      <c r="P79" s="30">
        <v>30.0</v>
      </c>
    </row>
    <row r="80" ht="14.25" customHeight="1" outlineLevel="2">
      <c r="D80" s="9" t="s">
        <v>177</v>
      </c>
      <c r="E80" s="11" t="s">
        <v>117</v>
      </c>
      <c r="L80" s="30">
        <v>25.0</v>
      </c>
      <c r="M80" s="30">
        <v>25.0</v>
      </c>
      <c r="N80" s="30">
        <v>25.0</v>
      </c>
      <c r="O80" s="30">
        <v>25.0</v>
      </c>
      <c r="P80" s="30">
        <v>25.0</v>
      </c>
    </row>
    <row r="81" ht="14.25" customHeight="1" outlineLevel="2">
      <c r="D81" s="9" t="s">
        <v>178</v>
      </c>
      <c r="E81" s="11" t="s">
        <v>117</v>
      </c>
      <c r="L81" s="30">
        <v>20.0</v>
      </c>
      <c r="M81" s="30">
        <v>20.0</v>
      </c>
      <c r="N81" s="30">
        <v>20.0</v>
      </c>
      <c r="O81" s="30">
        <v>20.0</v>
      </c>
      <c r="P81" s="30">
        <v>20.0</v>
      </c>
    </row>
    <row r="82" ht="14.25" customHeight="1" outlineLevel="2">
      <c r="E82" s="11"/>
    </row>
    <row r="83" ht="14.25" customHeight="1" outlineLevel="1">
      <c r="C83" s="36" t="s">
        <v>179</v>
      </c>
      <c r="E83" s="11"/>
    </row>
    <row r="84" ht="14.25" customHeight="1" outlineLevel="2">
      <c r="D84" s="34" t="s">
        <v>180</v>
      </c>
      <c r="E84" s="11"/>
    </row>
    <row r="85" ht="14.25" customHeight="1" outlineLevel="2">
      <c r="D85" s="9" t="s">
        <v>181</v>
      </c>
      <c r="E85" s="11" t="s">
        <v>182</v>
      </c>
      <c r="L85" s="63">
        <v>1.0</v>
      </c>
      <c r="M85" s="63">
        <v>1.0</v>
      </c>
      <c r="N85" s="63">
        <v>1.0</v>
      </c>
      <c r="O85" s="63">
        <v>1.0</v>
      </c>
      <c r="P85" s="63">
        <v>1.0</v>
      </c>
    </row>
    <row r="86" ht="14.25" customHeight="1" outlineLevel="2">
      <c r="D86" s="9" t="s">
        <v>183</v>
      </c>
      <c r="E86" s="11" t="s">
        <v>182</v>
      </c>
      <c r="L86" s="63">
        <v>3.0</v>
      </c>
      <c r="M86" s="63">
        <v>3.0</v>
      </c>
      <c r="N86" s="63">
        <v>3.0</v>
      </c>
      <c r="O86" s="63">
        <v>3.0</v>
      </c>
      <c r="P86" s="63">
        <v>3.0</v>
      </c>
    </row>
    <row r="87" ht="14.25" customHeight="1" outlineLevel="2">
      <c r="D87" s="9" t="s">
        <v>184</v>
      </c>
      <c r="E87" s="11" t="s">
        <v>182</v>
      </c>
      <c r="L87" s="63">
        <v>1.0</v>
      </c>
      <c r="M87" s="63">
        <v>1.0</v>
      </c>
      <c r="N87" s="63">
        <v>1.0</v>
      </c>
      <c r="O87" s="63">
        <v>1.0</v>
      </c>
      <c r="P87" s="63">
        <v>1.0</v>
      </c>
    </row>
    <row r="88" ht="14.25" customHeight="1" outlineLevel="2">
      <c r="D88" s="9" t="s">
        <v>185</v>
      </c>
      <c r="E88" s="11" t="s">
        <v>182</v>
      </c>
      <c r="L88" s="63">
        <v>2.0</v>
      </c>
      <c r="M88" s="63">
        <v>2.0</v>
      </c>
      <c r="N88" s="63">
        <v>2.0</v>
      </c>
      <c r="O88" s="63">
        <v>2.0</v>
      </c>
      <c r="P88" s="63">
        <v>2.0</v>
      </c>
    </row>
    <row r="89" ht="14.25" customHeight="1" outlineLevel="2">
      <c r="D89" s="9" t="s">
        <v>186</v>
      </c>
      <c r="E89" s="11" t="s">
        <v>182</v>
      </c>
      <c r="L89" s="63">
        <v>2.0</v>
      </c>
      <c r="M89" s="63">
        <v>2.0</v>
      </c>
      <c r="N89" s="63">
        <v>2.0</v>
      </c>
      <c r="O89" s="63">
        <v>2.0</v>
      </c>
      <c r="P89" s="63">
        <v>2.0</v>
      </c>
    </row>
    <row r="90" ht="14.25" customHeight="1" outlineLevel="2">
      <c r="E90" s="11"/>
    </row>
    <row r="91" ht="14.25" customHeight="1" outlineLevel="2">
      <c r="D91" s="34" t="s">
        <v>187</v>
      </c>
      <c r="E91" s="11"/>
    </row>
    <row r="92" ht="14.25" customHeight="1" outlineLevel="2">
      <c r="D92" s="9" t="str">
        <f t="shared" ref="D92:D96" si="10">D85</f>
        <v>Manager</v>
      </c>
      <c r="E92" s="11" t="str">
        <f>Currency&amp;"/month"</f>
        <v>$/month</v>
      </c>
      <c r="L92" s="30">
        <v>5000.0</v>
      </c>
      <c r="M92" s="30">
        <v>5000.0</v>
      </c>
      <c r="N92" s="30">
        <v>5000.0</v>
      </c>
      <c r="O92" s="30">
        <v>5050.0</v>
      </c>
      <c r="P92" s="30">
        <v>5100.0</v>
      </c>
    </row>
    <row r="93" ht="14.25" customHeight="1" outlineLevel="2">
      <c r="D93" s="9" t="str">
        <f t="shared" si="10"/>
        <v>Sales personnel/Stock keeper</v>
      </c>
      <c r="E93" s="11" t="str">
        <f>Currency&amp;"/month"</f>
        <v>$/month</v>
      </c>
      <c r="L93" s="30">
        <v>1500.0</v>
      </c>
      <c r="M93" s="30">
        <v>1500.0</v>
      </c>
      <c r="N93" s="30">
        <v>1500.0</v>
      </c>
      <c r="O93" s="30">
        <v>1550.0</v>
      </c>
      <c r="P93" s="30">
        <v>1600.0</v>
      </c>
    </row>
    <row r="94" ht="14.25" customHeight="1" outlineLevel="2">
      <c r="D94" s="9" t="str">
        <f t="shared" si="10"/>
        <v>Accountant</v>
      </c>
      <c r="E94" s="11" t="str">
        <f>Currency&amp;"/month"</f>
        <v>$/month</v>
      </c>
      <c r="L94" s="30">
        <v>2000.0</v>
      </c>
      <c r="M94" s="30">
        <v>2000.0</v>
      </c>
      <c r="N94" s="30">
        <v>2000.0</v>
      </c>
      <c r="O94" s="30">
        <v>2050.0</v>
      </c>
      <c r="P94" s="30">
        <v>2100.0</v>
      </c>
    </row>
    <row r="95" ht="14.25" customHeight="1" outlineLevel="2">
      <c r="D95" s="9" t="str">
        <f t="shared" si="10"/>
        <v>Security</v>
      </c>
      <c r="E95" s="11" t="str">
        <f>Currency&amp;"/month"</f>
        <v>$/month</v>
      </c>
      <c r="L95" s="30">
        <v>1000.0</v>
      </c>
      <c r="M95" s="30">
        <v>1000.0</v>
      </c>
      <c r="N95" s="30">
        <v>1000.0</v>
      </c>
      <c r="O95" s="30">
        <v>1050.0</v>
      </c>
      <c r="P95" s="30">
        <v>1100.0</v>
      </c>
    </row>
    <row r="96" ht="14.25" customHeight="1" outlineLevel="2">
      <c r="D96" s="9" t="str">
        <f t="shared" si="10"/>
        <v>Other staff</v>
      </c>
      <c r="E96" s="11" t="str">
        <f>Currency&amp;"/month"</f>
        <v>$/month</v>
      </c>
      <c r="L96" s="30">
        <v>750.0</v>
      </c>
      <c r="M96" s="30">
        <v>750.0</v>
      </c>
      <c r="N96" s="30">
        <v>750.0</v>
      </c>
      <c r="O96" s="30">
        <v>800.0</v>
      </c>
      <c r="P96" s="30">
        <v>850.0</v>
      </c>
    </row>
    <row r="97" ht="14.25" customHeight="1" outlineLevel="2">
      <c r="E97" s="11"/>
    </row>
    <row r="98" ht="14.25" customHeight="1" outlineLevel="2">
      <c r="D98" s="34" t="s">
        <v>188</v>
      </c>
      <c r="E98" s="11"/>
    </row>
    <row r="99" ht="14.25" customHeight="1" outlineLevel="2">
      <c r="D99" s="9" t="s">
        <v>166</v>
      </c>
      <c r="E99" s="11" t="str">
        <f>Currency&amp;"/month"</f>
        <v>$/month</v>
      </c>
      <c r="L99" s="30">
        <v>1250.0</v>
      </c>
      <c r="M99" s="30">
        <v>1250.0</v>
      </c>
      <c r="N99" s="30">
        <v>1250.0</v>
      </c>
      <c r="O99" s="30">
        <v>1300.0</v>
      </c>
      <c r="P99" s="30">
        <v>1300.0</v>
      </c>
    </row>
    <row r="100" ht="14.25" customHeight="1" outlineLevel="2">
      <c r="D100" s="9" t="s">
        <v>189</v>
      </c>
      <c r="E100" s="11" t="str">
        <f>Currency&amp;"/month"</f>
        <v>$/month</v>
      </c>
      <c r="L100" s="30">
        <v>300.0</v>
      </c>
      <c r="M100" s="30">
        <v>300.0</v>
      </c>
      <c r="N100" s="30">
        <v>300.0</v>
      </c>
      <c r="O100" s="30">
        <v>350.0</v>
      </c>
      <c r="P100" s="30">
        <v>350.0</v>
      </c>
    </row>
    <row r="101" ht="14.25" customHeight="1" outlineLevel="2">
      <c r="D101" s="9" t="s">
        <v>190</v>
      </c>
      <c r="E101" s="11" t="str">
        <f>Currency&amp;"/month"</f>
        <v>$/month</v>
      </c>
      <c r="L101" s="30">
        <v>250.0</v>
      </c>
      <c r="M101" s="30">
        <v>250.0</v>
      </c>
      <c r="N101" s="30">
        <v>250.0</v>
      </c>
      <c r="O101" s="30">
        <v>300.0</v>
      </c>
      <c r="P101" s="30">
        <v>300.0</v>
      </c>
    </row>
    <row r="102" ht="14.25" customHeight="1" outlineLevel="2">
      <c r="D102" s="9" t="s">
        <v>191</v>
      </c>
      <c r="E102" s="11" t="str">
        <f>Currency&amp;"/month"</f>
        <v>$/month</v>
      </c>
      <c r="L102" s="30">
        <v>500.0</v>
      </c>
      <c r="M102" s="30">
        <v>500.0</v>
      </c>
      <c r="N102" s="30">
        <v>500.0</v>
      </c>
      <c r="O102" s="30">
        <v>550.0</v>
      </c>
      <c r="P102" s="30">
        <v>550.0</v>
      </c>
    </row>
    <row r="103" ht="14.25" customHeight="1" outlineLevel="2">
      <c r="D103" s="9" t="s">
        <v>192</v>
      </c>
      <c r="E103" s="11" t="str">
        <f>Currency&amp;"/month"</f>
        <v>$/month</v>
      </c>
      <c r="L103" s="30">
        <v>1000.0</v>
      </c>
      <c r="M103" s="30">
        <v>1000.0</v>
      </c>
      <c r="N103" s="30">
        <v>1000.0</v>
      </c>
      <c r="O103" s="30">
        <v>1050.0</v>
      </c>
      <c r="P103" s="30">
        <v>1050.0</v>
      </c>
    </row>
    <row r="104" ht="14.25" customHeight="1" outlineLevel="2">
      <c r="D104" s="9" t="s">
        <v>167</v>
      </c>
      <c r="E104" s="11" t="str">
        <f>Currency&amp;"/month"</f>
        <v>$/month</v>
      </c>
      <c r="L104" s="30">
        <v>420.0</v>
      </c>
      <c r="M104" s="30">
        <v>420.0</v>
      </c>
      <c r="N104" s="30">
        <v>420.0</v>
      </c>
      <c r="O104" s="30">
        <v>470.0</v>
      </c>
      <c r="P104" s="30">
        <v>470.0</v>
      </c>
    </row>
    <row r="105" ht="14.25" customHeight="1" outlineLevel="2">
      <c r="D105" s="9" t="s">
        <v>193</v>
      </c>
      <c r="E105" s="11" t="str">
        <f>Currency&amp;"/month"</f>
        <v>$/month</v>
      </c>
      <c r="L105" s="30">
        <v>400.0</v>
      </c>
      <c r="M105" s="30">
        <v>400.0</v>
      </c>
      <c r="N105" s="30">
        <v>400.0</v>
      </c>
      <c r="O105" s="30">
        <v>450.0</v>
      </c>
      <c r="P105" s="30">
        <v>450.0</v>
      </c>
    </row>
    <row r="106" ht="14.25" customHeight="1" outlineLevel="2">
      <c r="E106" s="11"/>
    </row>
    <row r="107" ht="14.25" customHeight="1">
      <c r="B107" s="47" t="s">
        <v>194</v>
      </c>
      <c r="E107" s="11"/>
    </row>
    <row r="108" ht="14.25" customHeight="1" outlineLevel="1">
      <c r="C108" s="36" t="s">
        <v>195</v>
      </c>
      <c r="E108" s="11"/>
    </row>
    <row r="109" ht="14.25" customHeight="1" outlineLevel="2">
      <c r="D109" s="34" t="s">
        <v>196</v>
      </c>
      <c r="E109" s="11"/>
    </row>
    <row r="110" ht="14.25" customHeight="1" outlineLevel="2">
      <c r="D110" s="9" t="s">
        <v>197</v>
      </c>
      <c r="E110" s="11"/>
    </row>
    <row r="111" ht="14.25" customHeight="1" outlineLevel="2">
      <c r="D111" s="9" t="s">
        <v>198</v>
      </c>
      <c r="E111" s="11"/>
    </row>
    <row r="112" ht="14.25" customHeight="1" outlineLevel="2">
      <c r="D112" s="9" t="s">
        <v>199</v>
      </c>
      <c r="E112" s="11"/>
    </row>
    <row r="113" ht="14.25" customHeight="1" outlineLevel="2">
      <c r="E113" s="11"/>
    </row>
    <row r="114" ht="14.25" customHeight="1" outlineLevel="2">
      <c r="D114" s="34" t="s">
        <v>200</v>
      </c>
      <c r="E114" s="11"/>
    </row>
    <row r="115" ht="14.25" customHeight="1" outlineLevel="2">
      <c r="D115" s="9" t="str">
        <f t="shared" ref="D115:D117" si="11">D110</f>
        <v>Paint Size 1</v>
      </c>
      <c r="E115" s="11" t="str">
        <f>Currency&amp;"/unit"</f>
        <v>$/unit</v>
      </c>
      <c r="F115" s="30">
        <v>159.0</v>
      </c>
    </row>
    <row r="116" ht="14.25" customHeight="1" outlineLevel="2">
      <c r="D116" s="9" t="str">
        <f t="shared" si="11"/>
        <v>Paint Size 2</v>
      </c>
      <c r="E116" s="11" t="str">
        <f>Currency&amp;"/unit"</f>
        <v>$/unit</v>
      </c>
      <c r="F116" s="30">
        <v>79.0</v>
      </c>
    </row>
    <row r="117" ht="14.25" customHeight="1" outlineLevel="2">
      <c r="D117" s="9" t="str">
        <f t="shared" si="11"/>
        <v>Paint Size 3</v>
      </c>
      <c r="E117" s="11" t="str">
        <f>Currency&amp;"/unit"</f>
        <v>$/unit</v>
      </c>
      <c r="F117" s="30">
        <v>49.0</v>
      </c>
    </row>
    <row r="118" ht="14.25" customHeight="1" outlineLevel="2">
      <c r="E118" s="11"/>
    </row>
    <row r="119" ht="14.25" customHeight="1" outlineLevel="2">
      <c r="D119" s="34" t="s">
        <v>201</v>
      </c>
      <c r="E119" s="11"/>
    </row>
    <row r="120" ht="14.25" customHeight="1" outlineLevel="2">
      <c r="D120" s="9" t="str">
        <f t="shared" ref="D120:D122" si="12">D110</f>
        <v>Paint Size 1</v>
      </c>
      <c r="E120" s="11" t="s">
        <v>202</v>
      </c>
      <c r="F120" s="30">
        <v>200.0</v>
      </c>
    </row>
    <row r="121" ht="14.25" customHeight="1" outlineLevel="2">
      <c r="D121" s="9" t="str">
        <f t="shared" si="12"/>
        <v>Paint Size 2</v>
      </c>
      <c r="E121" s="11" t="s">
        <v>202</v>
      </c>
      <c r="F121" s="30">
        <v>300.0</v>
      </c>
    </row>
    <row r="122" ht="14.25" customHeight="1" outlineLevel="2">
      <c r="D122" s="9" t="str">
        <f t="shared" si="12"/>
        <v>Paint Size 3</v>
      </c>
      <c r="E122" s="11" t="s">
        <v>202</v>
      </c>
      <c r="F122" s="30">
        <v>400.0</v>
      </c>
    </row>
    <row r="123" ht="14.25" customHeight="1" outlineLevel="2">
      <c r="E123" s="11"/>
    </row>
    <row r="124" ht="14.25" customHeight="1" outlineLevel="1">
      <c r="C124" s="36" t="s">
        <v>203</v>
      </c>
      <c r="E124" s="11"/>
    </row>
    <row r="125" ht="14.25" customHeight="1" outlineLevel="2">
      <c r="D125" s="34" t="s">
        <v>204</v>
      </c>
      <c r="E125" s="11"/>
    </row>
    <row r="126" ht="14.25" customHeight="1" outlineLevel="2">
      <c r="D126" s="9" t="str">
        <f t="shared" ref="D126:D128" si="13">D110</f>
        <v>Paint Size 1</v>
      </c>
      <c r="E126" s="11" t="str">
        <f>Currency&amp;"/unit"</f>
        <v>$/unit</v>
      </c>
      <c r="F126" s="30">
        <v>89.6</v>
      </c>
    </row>
    <row r="127" ht="14.25" customHeight="1" outlineLevel="2">
      <c r="D127" s="9" t="str">
        <f t="shared" si="13"/>
        <v>Paint Size 2</v>
      </c>
      <c r="E127" s="11" t="str">
        <f>Currency&amp;"/unit"</f>
        <v>$/unit</v>
      </c>
      <c r="F127" s="30">
        <v>41.7</v>
      </c>
    </row>
    <row r="128" ht="14.25" customHeight="1" outlineLevel="2">
      <c r="D128" s="9" t="str">
        <f t="shared" si="13"/>
        <v>Paint Size 3</v>
      </c>
      <c r="E128" s="11" t="str">
        <f>Currency&amp;"/unit"</f>
        <v>$/unit</v>
      </c>
      <c r="F128" s="30">
        <v>21.5</v>
      </c>
    </row>
    <row r="129" ht="14.25" customHeight="1" outlineLevel="2">
      <c r="E129" s="11"/>
    </row>
    <row r="130" ht="14.25" customHeight="1" outlineLevel="2">
      <c r="D130" s="9" t="s">
        <v>205</v>
      </c>
      <c r="E130" s="11" t="s">
        <v>206</v>
      </c>
      <c r="F130" s="64">
        <v>0.025</v>
      </c>
    </row>
    <row r="131" ht="14.25" customHeight="1" outlineLevel="2">
      <c r="E131" s="11"/>
    </row>
    <row r="132" ht="14.25" customHeight="1" outlineLevel="2">
      <c r="E132" s="11"/>
    </row>
    <row r="133" ht="14.25" customHeight="1" outlineLevel="2">
      <c r="E133" s="11"/>
    </row>
    <row r="134" ht="14.25" customHeight="1" outlineLevel="2">
      <c r="E134" s="11"/>
    </row>
    <row r="135" ht="14.25" customHeight="1" outlineLevel="1">
      <c r="E135" s="11"/>
    </row>
    <row r="136" ht="14.25" customHeight="1">
      <c r="E136" s="11"/>
    </row>
    <row r="137" ht="14.25" customHeight="1">
      <c r="E137" s="11"/>
    </row>
    <row r="138" ht="14.25" customHeight="1">
      <c r="E138" s="11"/>
    </row>
    <row r="139" ht="14.25" customHeight="1">
      <c r="E139" s="11"/>
    </row>
    <row r="140" ht="14.25" customHeight="1">
      <c r="E140" s="11"/>
    </row>
    <row r="141" ht="14.25" customHeight="1">
      <c r="E141" s="11"/>
    </row>
    <row r="142" ht="14.25" customHeight="1">
      <c r="E142" s="11"/>
    </row>
    <row r="143" ht="14.25" customHeight="1">
      <c r="E143" s="11"/>
    </row>
    <row r="144" ht="14.25" customHeight="1">
      <c r="E144" s="11"/>
    </row>
    <row r="145" ht="14.25" customHeight="1">
      <c r="E145" s="11"/>
    </row>
    <row r="146" ht="14.25" customHeight="1">
      <c r="E146" s="11"/>
    </row>
    <row r="147" ht="14.25" customHeight="1">
      <c r="E147" s="11"/>
    </row>
    <row r="148" ht="14.25" customHeight="1">
      <c r="E148" s="11"/>
    </row>
    <row r="149" ht="14.25" customHeight="1">
      <c r="E149" s="11"/>
    </row>
    <row r="150" ht="14.25" customHeight="1">
      <c r="E150" s="11"/>
    </row>
    <row r="151" ht="14.25" customHeight="1">
      <c r="E151" s="11"/>
    </row>
    <row r="152" ht="14.25" customHeight="1">
      <c r="E152" s="11"/>
    </row>
    <row r="153" ht="14.25" customHeight="1">
      <c r="E153" s="11"/>
    </row>
    <row r="154" ht="14.25" customHeight="1">
      <c r="E154" s="11"/>
    </row>
    <row r="155" ht="14.25" customHeight="1">
      <c r="E155" s="11"/>
    </row>
    <row r="156" ht="14.25" customHeight="1">
      <c r="E156" s="11"/>
    </row>
    <row r="157" ht="14.25" customHeight="1">
      <c r="E157" s="11"/>
    </row>
    <row r="158" ht="14.25" customHeight="1">
      <c r="E158" s="11"/>
    </row>
    <row r="159" ht="14.25" customHeight="1">
      <c r="E159" s="11"/>
    </row>
    <row r="160" ht="14.25" customHeight="1">
      <c r="E160" s="11"/>
    </row>
    <row r="161" ht="14.25" customHeight="1">
      <c r="E161" s="11"/>
    </row>
    <row r="162" ht="14.25" customHeight="1">
      <c r="E162" s="11"/>
    </row>
    <row r="163" ht="14.25" customHeight="1">
      <c r="E163" s="11"/>
    </row>
    <row r="164" ht="14.25" customHeight="1">
      <c r="E164" s="11"/>
    </row>
    <row r="165" ht="14.25" customHeight="1">
      <c r="E165" s="11"/>
    </row>
    <row r="166" ht="14.25" customHeight="1">
      <c r="E166" s="11"/>
    </row>
    <row r="167" ht="14.25" customHeight="1">
      <c r="E167" s="11"/>
    </row>
    <row r="168" ht="14.25" customHeight="1">
      <c r="E168" s="11"/>
    </row>
    <row r="169" ht="14.25" customHeight="1">
      <c r="E169" s="11"/>
    </row>
    <row r="170" ht="14.25" customHeight="1">
      <c r="E170" s="11"/>
    </row>
    <row r="171" ht="14.25" customHeight="1">
      <c r="E171" s="11"/>
    </row>
    <row r="172" ht="14.25" customHeight="1">
      <c r="E172" s="11"/>
    </row>
    <row r="173" ht="14.25" customHeight="1">
      <c r="E173" s="11"/>
    </row>
    <row r="174" ht="14.25" customHeight="1">
      <c r="E174" s="11"/>
    </row>
    <row r="175" ht="14.25" customHeight="1">
      <c r="E175" s="11"/>
    </row>
    <row r="176" ht="14.25" customHeight="1">
      <c r="E176" s="11"/>
    </row>
    <row r="177" ht="14.25" customHeight="1">
      <c r="E177" s="11"/>
    </row>
    <row r="178" ht="14.25" customHeight="1">
      <c r="E178" s="11"/>
    </row>
    <row r="179" ht="14.25" customHeight="1">
      <c r="E179" s="11"/>
    </row>
    <row r="180" ht="14.25" customHeight="1">
      <c r="E180" s="11"/>
    </row>
    <row r="181" ht="14.25" customHeight="1">
      <c r="E181" s="11"/>
    </row>
    <row r="182" ht="14.25" customHeight="1">
      <c r="E182" s="11"/>
    </row>
    <row r="183" ht="14.25" customHeight="1">
      <c r="E183" s="11"/>
    </row>
    <row r="184" ht="14.25" customHeight="1">
      <c r="E184" s="11"/>
    </row>
    <row r="185" ht="14.25" customHeight="1">
      <c r="E185" s="11"/>
    </row>
    <row r="186" ht="14.25" customHeight="1">
      <c r="E186" s="11"/>
    </row>
    <row r="187" ht="14.25" customHeight="1">
      <c r="E187" s="11"/>
    </row>
    <row r="188" ht="14.25" customHeight="1">
      <c r="E188" s="11"/>
    </row>
    <row r="189" ht="14.25" customHeight="1">
      <c r="E189" s="11"/>
    </row>
    <row r="190" ht="14.25" customHeight="1">
      <c r="E190" s="11"/>
    </row>
    <row r="191" ht="14.25" customHeight="1">
      <c r="E191" s="11"/>
    </row>
    <row r="192" ht="14.25" customHeight="1">
      <c r="E192" s="11"/>
    </row>
    <row r="193" ht="14.25" customHeight="1">
      <c r="E193" s="11"/>
    </row>
    <row r="194" ht="14.25" customHeight="1">
      <c r="E194" s="11"/>
    </row>
    <row r="195" ht="14.25" customHeight="1">
      <c r="E195" s="11"/>
    </row>
    <row r="196" ht="14.25" customHeight="1">
      <c r="E196" s="11"/>
    </row>
    <row r="197" ht="14.25" customHeight="1">
      <c r="E197" s="11"/>
    </row>
    <row r="198" ht="14.25" customHeight="1">
      <c r="E198" s="11"/>
    </row>
    <row r="199" ht="14.25" customHeight="1">
      <c r="E199" s="11"/>
    </row>
    <row r="200" ht="14.25" customHeight="1">
      <c r="E200" s="11"/>
    </row>
    <row r="201" ht="14.25" customHeight="1">
      <c r="E201" s="11"/>
    </row>
    <row r="202" ht="14.25" customHeight="1">
      <c r="E202" s="11"/>
    </row>
    <row r="203" ht="14.25" customHeight="1">
      <c r="E203" s="11"/>
    </row>
    <row r="204" ht="14.25" customHeight="1">
      <c r="E204" s="11"/>
    </row>
    <row r="205" ht="14.25" customHeight="1">
      <c r="E205" s="11"/>
    </row>
    <row r="206" ht="14.25" customHeight="1">
      <c r="E206" s="11"/>
    </row>
    <row r="207" ht="14.25" customHeight="1">
      <c r="E207" s="11"/>
    </row>
    <row r="208" ht="14.25" customHeight="1">
      <c r="E208" s="11"/>
    </row>
    <row r="209" ht="14.25" customHeight="1">
      <c r="E209" s="11"/>
    </row>
    <row r="210" ht="14.25" customHeight="1">
      <c r="E210" s="11"/>
    </row>
    <row r="211" ht="14.25" customHeight="1">
      <c r="E211" s="11"/>
    </row>
    <row r="212" ht="14.25" customHeight="1">
      <c r="E212" s="11"/>
    </row>
    <row r="213" ht="14.25" customHeight="1">
      <c r="E213" s="11"/>
    </row>
    <row r="214" ht="14.25" customHeight="1">
      <c r="E214" s="11"/>
    </row>
    <row r="215" ht="14.25" customHeight="1">
      <c r="E215" s="11"/>
    </row>
    <row r="216" ht="14.25" customHeight="1">
      <c r="E216" s="11"/>
    </row>
    <row r="217" ht="14.25" customHeight="1">
      <c r="E217" s="11"/>
    </row>
    <row r="218" ht="14.25" customHeight="1">
      <c r="E218" s="11"/>
    </row>
    <row r="219" ht="14.25" customHeight="1">
      <c r="E219" s="11"/>
    </row>
    <row r="220" ht="14.25" customHeight="1">
      <c r="E220" s="11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3" width="2.5"/>
    <col customWidth="1" min="4" max="4" width="22.88"/>
    <col customWidth="1" min="5" max="5" width="8.63"/>
    <col customWidth="1" min="6" max="6" width="12.25"/>
    <col customWidth="1" min="7" max="8" width="8.63"/>
    <col customWidth="1" min="9" max="10" width="1.38"/>
    <col customWidth="1" min="11" max="11" width="10.88"/>
    <col customWidth="1" min="12" max="16" width="9.38"/>
    <col customWidth="1" min="17" max="26" width="8.63"/>
  </cols>
  <sheetData>
    <row r="1" ht="14.25" customHeight="1"/>
    <row r="2" ht="14.25" customHeight="1">
      <c r="B2" s="35" t="str">
        <f>Guide!$F$33</f>
        <v>TOWV Bootcamp Limited</v>
      </c>
    </row>
    <row r="3" ht="14.25" customHeight="1">
      <c r="B3" s="36" t="s">
        <v>207</v>
      </c>
    </row>
    <row r="4" ht="14.25" customHeight="1">
      <c r="G4" s="11" t="s">
        <v>104</v>
      </c>
      <c r="K4" s="42"/>
      <c r="L4" s="43">
        <f t="shared" ref="L4:P4" si="1">K5+1</f>
        <v>44562</v>
      </c>
      <c r="M4" s="43">
        <f t="shared" si="1"/>
        <v>44927</v>
      </c>
      <c r="N4" s="43">
        <f t="shared" si="1"/>
        <v>45292</v>
      </c>
      <c r="O4" s="43">
        <f t="shared" si="1"/>
        <v>45658</v>
      </c>
      <c r="P4" s="43">
        <f t="shared" si="1"/>
        <v>46023</v>
      </c>
    </row>
    <row r="5" ht="14.25" customHeight="1">
      <c r="C5" s="44" t="str">
        <f>Scenario</f>
        <v>Live Scenario: Base Case</v>
      </c>
      <c r="G5" s="11" t="s">
        <v>105</v>
      </c>
      <c r="K5" s="43">
        <f>Guide!F39-1</f>
        <v>44561</v>
      </c>
      <c r="L5" s="43">
        <f>EDATE(K5,Guide!$F$41)</f>
        <v>44926</v>
      </c>
      <c r="M5" s="43">
        <f>EDATE(L5,Guide!$F$41)</f>
        <v>45291</v>
      </c>
      <c r="N5" s="43">
        <f>EDATE(M5,Guide!$F$41)</f>
        <v>45657</v>
      </c>
      <c r="O5" s="43">
        <f>EDATE(N5,Guide!$F$41)</f>
        <v>46022</v>
      </c>
      <c r="P5" s="43">
        <f>EDATE(O5,Guide!$F$41)</f>
        <v>46387</v>
      </c>
    </row>
    <row r="6" ht="14.25" customHeight="1">
      <c r="C6" s="44" t="s">
        <v>106</v>
      </c>
      <c r="G6" s="11" t="s">
        <v>107</v>
      </c>
      <c r="K6" s="42"/>
      <c r="L6" s="45">
        <f t="shared" ref="L6:P6" si="2">YEAR(L4)</f>
        <v>2022</v>
      </c>
      <c r="M6" s="45">
        <f t="shared" si="2"/>
        <v>2023</v>
      </c>
      <c r="N6" s="45">
        <f t="shared" si="2"/>
        <v>2024</v>
      </c>
      <c r="O6" s="45">
        <f t="shared" si="2"/>
        <v>2025</v>
      </c>
      <c r="P6" s="45">
        <f t="shared" si="2"/>
        <v>2026</v>
      </c>
    </row>
    <row r="7" ht="14.25" customHeight="1">
      <c r="D7" s="11" t="s">
        <v>108</v>
      </c>
      <c r="E7" s="11" t="s">
        <v>109</v>
      </c>
      <c r="F7" s="46" t="s">
        <v>110</v>
      </c>
      <c r="G7" s="11" t="s">
        <v>111</v>
      </c>
      <c r="H7" s="11" t="s">
        <v>112</v>
      </c>
    </row>
    <row r="8" ht="14.25" customHeight="1"/>
    <row r="9" ht="14.25" customHeight="1"/>
    <row r="10" ht="14.25" customHeight="1">
      <c r="B10" s="36" t="s">
        <v>74</v>
      </c>
    </row>
    <row r="11" ht="14.25" customHeight="1">
      <c r="D11" s="65" t="str">
        <f t="array" ref="D11">"Live Scenario: "&amp;INDEX(S_Case,S_Switch)</f>
        <v>Live Scenario: Base Case</v>
      </c>
    </row>
    <row r="12" ht="14.25" customHeight="1">
      <c r="C12" s="49">
        <v>1.0</v>
      </c>
      <c r="D12" s="9" t="str">
        <f t="array" ref="D12:D15">S_Case</f>
        <v>Base Case</v>
      </c>
      <c r="E12" s="66">
        <v>1.0</v>
      </c>
    </row>
    <row r="13" ht="14.25" customHeight="1">
      <c r="C13" s="49">
        <v>2.0</v>
      </c>
      <c r="D13" s="9" t="s">
        <v>76</v>
      </c>
    </row>
    <row r="14" ht="14.25" customHeight="1">
      <c r="C14" s="49">
        <v>3.0</v>
      </c>
      <c r="D14" s="9" t="s">
        <v>77</v>
      </c>
    </row>
    <row r="15" ht="14.25" customHeight="1">
      <c r="C15" s="49">
        <v>4.0</v>
      </c>
      <c r="D15" s="9" t="s">
        <v>78</v>
      </c>
    </row>
    <row r="16" ht="14.25" customHeight="1"/>
    <row r="17" ht="14.25" customHeight="1"/>
    <row r="18" ht="14.25" customHeight="1">
      <c r="D18" s="34" t="s">
        <v>120</v>
      </c>
      <c r="L18" s="56">
        <f>CHOOSE(S_Switch,L19,L20,L21,L22)</f>
        <v>0</v>
      </c>
      <c r="M18" s="56">
        <f>CHOOSE(S_Switch,M19,M20,M21,M22)</f>
        <v>0.025</v>
      </c>
      <c r="N18" s="56">
        <f>CHOOSE(S_Switch,N19,N20,N21,N22)</f>
        <v>0.0245</v>
      </c>
      <c r="O18" s="56">
        <f>CHOOSE(S_Switch,O19,O20,O21,O22)</f>
        <v>0.0237</v>
      </c>
      <c r="P18" s="56">
        <f>CHOOSE(S_Switch,P19,P20,P21,P22)</f>
        <v>0.0225</v>
      </c>
    </row>
    <row r="19" ht="14.25" customHeight="1">
      <c r="D19" s="9" t="str">
        <f t="array" ref="D19:D22">S_Case</f>
        <v>Base Case</v>
      </c>
      <c r="E19" s="67"/>
      <c r="L19" s="55">
        <v>0.0</v>
      </c>
      <c r="M19" s="55">
        <v>0.025</v>
      </c>
      <c r="N19" s="55">
        <v>0.0245</v>
      </c>
      <c r="O19" s="55">
        <v>0.0237</v>
      </c>
      <c r="P19" s="55">
        <v>0.0225</v>
      </c>
    </row>
    <row r="20" ht="14.25" customHeight="1">
      <c r="D20" s="9" t="s">
        <v>76</v>
      </c>
      <c r="E20" s="67">
        <v>-0.005</v>
      </c>
      <c r="L20" s="55">
        <v>0.0</v>
      </c>
      <c r="M20" s="56">
        <f t="shared" ref="M20:P20" si="3">M19+$E20</f>
        <v>0.02</v>
      </c>
      <c r="N20" s="56">
        <f t="shared" si="3"/>
        <v>0.0195</v>
      </c>
      <c r="O20" s="56">
        <f t="shared" si="3"/>
        <v>0.0187</v>
      </c>
      <c r="P20" s="56">
        <f t="shared" si="3"/>
        <v>0.0175</v>
      </c>
    </row>
    <row r="21" ht="14.25" customHeight="1">
      <c r="D21" s="9" t="s">
        <v>77</v>
      </c>
      <c r="E21" s="67">
        <v>-0.01</v>
      </c>
      <c r="L21" s="55">
        <v>0.0</v>
      </c>
      <c r="M21" s="56">
        <f t="shared" ref="M21:P21" si="4">M19+$E21</f>
        <v>0.015</v>
      </c>
      <c r="N21" s="56">
        <f t="shared" si="4"/>
        <v>0.0145</v>
      </c>
      <c r="O21" s="56">
        <f t="shared" si="4"/>
        <v>0.0137</v>
      </c>
      <c r="P21" s="56">
        <f t="shared" si="4"/>
        <v>0.0125</v>
      </c>
    </row>
    <row r="22" ht="14.25" customHeight="1">
      <c r="D22" s="9" t="s">
        <v>78</v>
      </c>
      <c r="E22" s="67">
        <v>0.005</v>
      </c>
      <c r="L22" s="55">
        <v>0.0</v>
      </c>
      <c r="M22" s="56">
        <f t="shared" ref="M22:P22" si="5">M19+$E22</f>
        <v>0.03</v>
      </c>
      <c r="N22" s="56">
        <f t="shared" si="5"/>
        <v>0.0295</v>
      </c>
      <c r="O22" s="56">
        <f t="shared" si="5"/>
        <v>0.0287</v>
      </c>
      <c r="P22" s="56">
        <f t="shared" si="5"/>
        <v>0.0275</v>
      </c>
    </row>
    <row r="23" ht="14.25" customHeight="1"/>
    <row r="24" ht="14.25" customHeight="1"/>
    <row r="25" ht="14.25" customHeight="1">
      <c r="D25" s="34" t="s">
        <v>208</v>
      </c>
      <c r="L25" s="56">
        <f>CHOOSE(S_Switch,L26,L27,L28,L29)</f>
        <v>0</v>
      </c>
      <c r="M25" s="56">
        <f>CHOOSE(S_Switch,M26,M27,M28,M29)</f>
        <v>0.045</v>
      </c>
      <c r="N25" s="56">
        <f>CHOOSE(S_Switch,N26,N27,N28,N29)</f>
        <v>0.055</v>
      </c>
      <c r="O25" s="56">
        <f>CHOOSE(S_Switch,O26,O27,O28,O29)</f>
        <v>0.1005</v>
      </c>
      <c r="P25" s="56">
        <f>CHOOSE(S_Switch,P26,P27,P28,P29)</f>
        <v>0.025</v>
      </c>
    </row>
    <row r="26" ht="14.25" customHeight="1">
      <c r="D26" s="9" t="str">
        <f t="array" ref="D26:D29">S_Case</f>
        <v>Base Case</v>
      </c>
      <c r="L26" s="55">
        <v>0.0</v>
      </c>
      <c r="M26" s="55">
        <v>0.045</v>
      </c>
      <c r="N26" s="55">
        <v>0.055</v>
      </c>
      <c r="O26" s="55">
        <v>0.1005</v>
      </c>
      <c r="P26" s="55">
        <v>0.025</v>
      </c>
    </row>
    <row r="27" ht="14.25" customHeight="1">
      <c r="D27" s="9" t="s">
        <v>76</v>
      </c>
      <c r="E27" s="67">
        <v>0.01</v>
      </c>
      <c r="L27" s="55">
        <v>0.0</v>
      </c>
      <c r="M27" s="56">
        <f t="shared" ref="M27:P27" si="6">M26+$E27</f>
        <v>0.055</v>
      </c>
      <c r="N27" s="56">
        <f t="shared" si="6"/>
        <v>0.065</v>
      </c>
      <c r="O27" s="56">
        <f t="shared" si="6"/>
        <v>0.1105</v>
      </c>
      <c r="P27" s="56">
        <f t="shared" si="6"/>
        <v>0.035</v>
      </c>
    </row>
    <row r="28" ht="14.25" customHeight="1">
      <c r="D28" s="9" t="s">
        <v>77</v>
      </c>
      <c r="E28" s="67">
        <v>0.05</v>
      </c>
      <c r="L28" s="55">
        <v>0.0</v>
      </c>
      <c r="M28" s="56">
        <f t="shared" ref="M28:P28" si="7">M26+$E28</f>
        <v>0.095</v>
      </c>
      <c r="N28" s="56">
        <f t="shared" si="7"/>
        <v>0.105</v>
      </c>
      <c r="O28" s="56">
        <f t="shared" si="7"/>
        <v>0.1505</v>
      </c>
      <c r="P28" s="56">
        <f t="shared" si="7"/>
        <v>0.075</v>
      </c>
    </row>
    <row r="29" ht="14.25" customHeight="1">
      <c r="D29" s="9" t="s">
        <v>78</v>
      </c>
      <c r="E29" s="67">
        <v>-0.025</v>
      </c>
      <c r="L29" s="55">
        <v>0.0</v>
      </c>
      <c r="M29" s="56">
        <f t="shared" ref="M29:P29" si="8">M26+$E29</f>
        <v>0.02</v>
      </c>
      <c r="N29" s="56">
        <f t="shared" si="8"/>
        <v>0.03</v>
      </c>
      <c r="O29" s="56">
        <f t="shared" si="8"/>
        <v>0.0755</v>
      </c>
      <c r="P29" s="56">
        <f t="shared" si="8"/>
        <v>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 outlineLevelRow="2"/>
  <cols>
    <col customWidth="1" min="1" max="3" width="2.5"/>
    <col customWidth="1" min="4" max="4" width="25.0"/>
    <col customWidth="1" min="5" max="5" width="9.0"/>
    <col customWidth="1" min="6" max="6" width="12.25"/>
    <col customWidth="1" min="7" max="8" width="8.63"/>
    <col customWidth="1" min="9" max="9" width="1.38"/>
    <col customWidth="1" min="10" max="10" width="7.88"/>
    <col customWidth="1" min="11" max="11" width="10.88"/>
    <col customWidth="1" min="12" max="14" width="9.38"/>
    <col customWidth="1" min="15" max="16" width="10.38"/>
    <col customWidth="1" min="17" max="26" width="8.63"/>
  </cols>
  <sheetData>
    <row r="1" ht="14.25" customHeight="1">
      <c r="E1" s="11"/>
    </row>
    <row r="2" ht="14.25" customHeight="1">
      <c r="B2" s="35" t="str">
        <f>Guide!$F$33</f>
        <v>TOWV Bootcamp Limited</v>
      </c>
    </row>
    <row r="3" ht="14.25" customHeight="1">
      <c r="B3" s="36" t="s">
        <v>209</v>
      </c>
      <c r="E3" s="11"/>
    </row>
    <row r="4" ht="14.25" customHeight="1">
      <c r="E4" s="11"/>
      <c r="G4" s="11" t="s">
        <v>104</v>
      </c>
      <c r="K4" s="42"/>
      <c r="L4" s="43">
        <f t="shared" ref="L4:P4" si="1">K5+1</f>
        <v>44562</v>
      </c>
      <c r="M4" s="43">
        <f t="shared" si="1"/>
        <v>44927</v>
      </c>
      <c r="N4" s="43">
        <f t="shared" si="1"/>
        <v>45292</v>
      </c>
      <c r="O4" s="43">
        <f t="shared" si="1"/>
        <v>45658</v>
      </c>
      <c r="P4" s="43">
        <f t="shared" si="1"/>
        <v>46023</v>
      </c>
    </row>
    <row r="5" ht="14.25" customHeight="1">
      <c r="C5" s="44" t="str">
        <f>Scenario</f>
        <v>Live Scenario: Base Case</v>
      </c>
      <c r="E5" s="11"/>
      <c r="G5" s="11" t="s">
        <v>105</v>
      </c>
      <c r="K5" s="43">
        <f>Guide!F39-1</f>
        <v>44561</v>
      </c>
      <c r="L5" s="43">
        <f>EDATE(K5,Guide!$F$41)</f>
        <v>44926</v>
      </c>
      <c r="M5" s="43">
        <f>EDATE(L5,Guide!$F$41)</f>
        <v>45291</v>
      </c>
      <c r="N5" s="43">
        <f>EDATE(M5,Guide!$F$41)</f>
        <v>45657</v>
      </c>
      <c r="O5" s="43">
        <f>EDATE(N5,Guide!$F$41)</f>
        <v>46022</v>
      </c>
      <c r="P5" s="43">
        <f>EDATE(O5,Guide!$F$41)</f>
        <v>46387</v>
      </c>
    </row>
    <row r="6" ht="14.25" customHeight="1">
      <c r="C6" s="44" t="s">
        <v>106</v>
      </c>
      <c r="E6" s="11"/>
      <c r="G6" s="11" t="s">
        <v>107</v>
      </c>
      <c r="K6" s="42"/>
      <c r="L6" s="45">
        <f t="shared" ref="L6:P6" si="2">YEAR(L4)</f>
        <v>2022</v>
      </c>
      <c r="M6" s="45">
        <f t="shared" si="2"/>
        <v>2023</v>
      </c>
      <c r="N6" s="45">
        <f t="shared" si="2"/>
        <v>2024</v>
      </c>
      <c r="O6" s="45">
        <f t="shared" si="2"/>
        <v>2025</v>
      </c>
      <c r="P6" s="45">
        <f t="shared" si="2"/>
        <v>2026</v>
      </c>
    </row>
    <row r="7" ht="14.25" customHeight="1">
      <c r="D7" s="11" t="s">
        <v>108</v>
      </c>
      <c r="E7" s="11" t="s">
        <v>109</v>
      </c>
      <c r="F7" s="46" t="s">
        <v>110</v>
      </c>
      <c r="G7" s="11" t="s">
        <v>111</v>
      </c>
      <c r="H7" s="11" t="s">
        <v>112</v>
      </c>
    </row>
    <row r="8" ht="14.25" customHeight="1">
      <c r="E8" s="11"/>
    </row>
    <row r="9" ht="14.25" customHeight="1">
      <c r="B9" s="47" t="s">
        <v>210</v>
      </c>
      <c r="E9" s="11"/>
    </row>
    <row r="10" ht="14.25" customHeight="1" outlineLevel="1">
      <c r="C10" s="36" t="s">
        <v>211</v>
      </c>
      <c r="E10" s="11"/>
    </row>
    <row r="11" ht="14.25" customHeight="1" outlineLevel="2">
      <c r="D11" s="34" t="s">
        <v>212</v>
      </c>
      <c r="E11" s="11"/>
    </row>
    <row r="12" ht="14.25" customHeight="1" outlineLevel="2">
      <c r="D12" s="9" t="str">
        <f>Inputs!D35</f>
        <v>Long term loan</v>
      </c>
      <c r="E12" s="11" t="str">
        <f>Inputs!E35</f>
        <v>$</v>
      </c>
      <c r="H12" s="68">
        <f>SUM(L12:P12)</f>
        <v>100000</v>
      </c>
      <c r="L12" s="69">
        <f>Inputs!L35</f>
        <v>100000</v>
      </c>
      <c r="M12" s="69">
        <f>Inputs!M35</f>
        <v>0</v>
      </c>
      <c r="N12" s="69">
        <f>Inputs!N35</f>
        <v>0</v>
      </c>
      <c r="O12" s="69">
        <f>Inputs!O35</f>
        <v>0</v>
      </c>
      <c r="P12" s="69">
        <f>Inputs!P35</f>
        <v>0</v>
      </c>
    </row>
    <row r="13" ht="14.25" customHeight="1" outlineLevel="2">
      <c r="D13" s="9" t="str">
        <f>Inputs!D42</f>
        <v>Loan period</v>
      </c>
      <c r="E13" s="11" t="str">
        <f>Inputs!E42</f>
        <v>years</v>
      </c>
      <c r="F13" s="70">
        <f>Inputs!F42</f>
        <v>4</v>
      </c>
    </row>
    <row r="14" ht="14.25" customHeight="1" outlineLevel="2">
      <c r="D14" s="9" t="str">
        <f>Inputs!D43</f>
        <v>Loan interest rate</v>
      </c>
      <c r="E14" s="11" t="str">
        <f>Inputs!E43</f>
        <v>%age</v>
      </c>
      <c r="L14" s="71">
        <f>Inputs!L43</f>
        <v>0.0716</v>
      </c>
      <c r="M14" s="71">
        <f>Inputs!M43</f>
        <v>0.0716</v>
      </c>
      <c r="N14" s="71">
        <f>Inputs!N43</f>
        <v>0.0716</v>
      </c>
      <c r="O14" s="71">
        <f>Inputs!O43</f>
        <v>0.0716</v>
      </c>
      <c r="P14" s="71">
        <f>Inputs!P43</f>
        <v>0.0716</v>
      </c>
    </row>
    <row r="15" ht="14.25" customHeight="1" outlineLevel="2">
      <c r="E15" s="11"/>
    </row>
    <row r="16" ht="14.25" customHeight="1" outlineLevel="2">
      <c r="D16" s="9" t="s">
        <v>213</v>
      </c>
      <c r="E16" s="11" t="str">
        <f>Currency</f>
        <v>$</v>
      </c>
      <c r="K16" s="69">
        <f t="shared" ref="K16:P16" si="3">L12</f>
        <v>100000</v>
      </c>
      <c r="L16" s="69">
        <f t="shared" si="3"/>
        <v>0</v>
      </c>
      <c r="M16" s="69">
        <f t="shared" si="3"/>
        <v>0</v>
      </c>
      <c r="N16" s="69">
        <f t="shared" si="3"/>
        <v>0</v>
      </c>
      <c r="O16" s="69">
        <f t="shared" si="3"/>
        <v>0</v>
      </c>
      <c r="P16" s="69" t="str">
        <f t="shared" si="3"/>
        <v/>
      </c>
    </row>
    <row r="17" ht="14.25" customHeight="1" outlineLevel="2">
      <c r="D17" s="9" t="s">
        <v>214</v>
      </c>
      <c r="E17" s="11" t="str">
        <f>Currency</f>
        <v>$</v>
      </c>
      <c r="L17" s="69">
        <f t="shared" ref="L17:P17" si="4">L12</f>
        <v>100000</v>
      </c>
      <c r="M17" s="69">
        <f t="shared" si="4"/>
        <v>0</v>
      </c>
      <c r="N17" s="69">
        <f t="shared" si="4"/>
        <v>0</v>
      </c>
      <c r="O17" s="69">
        <f t="shared" si="4"/>
        <v>0</v>
      </c>
      <c r="P17" s="69">
        <f t="shared" si="4"/>
        <v>0</v>
      </c>
    </row>
    <row r="18" ht="14.25" customHeight="1" outlineLevel="2">
      <c r="E18" s="11"/>
    </row>
    <row r="19" ht="14.25" customHeight="1" outlineLevel="2">
      <c r="D19" s="34" t="s">
        <v>211</v>
      </c>
      <c r="E19" s="11"/>
    </row>
    <row r="20" ht="14.25" customHeight="1" outlineLevel="2">
      <c r="D20" s="9" t="s">
        <v>215</v>
      </c>
      <c r="E20" s="11" t="str">
        <f>Currency</f>
        <v>$</v>
      </c>
      <c r="L20" s="38">
        <f t="shared" ref="L20:P20" si="5">K23</f>
        <v>100000</v>
      </c>
      <c r="M20" s="38">
        <f t="shared" si="5"/>
        <v>77530.47974</v>
      </c>
      <c r="N20" s="38">
        <f t="shared" si="5"/>
        <v>53452.14184</v>
      </c>
      <c r="O20" s="38">
        <f t="shared" si="5"/>
        <v>27649.79494</v>
      </c>
      <c r="P20" s="38">
        <f t="shared" si="5"/>
        <v>0.0000000001637090463</v>
      </c>
    </row>
    <row r="21" ht="14.25" customHeight="1" outlineLevel="2">
      <c r="D21" s="9" t="s">
        <v>216</v>
      </c>
      <c r="E21" s="11" t="str">
        <f>Currency</f>
        <v>$</v>
      </c>
      <c r="L21" s="38">
        <f t="shared" ref="L21:P21" si="6">L16</f>
        <v>0</v>
      </c>
      <c r="M21" s="38">
        <f t="shared" si="6"/>
        <v>0</v>
      </c>
      <c r="N21" s="38">
        <f t="shared" si="6"/>
        <v>0</v>
      </c>
      <c r="O21" s="38">
        <f t="shared" si="6"/>
        <v>0</v>
      </c>
      <c r="P21" s="38" t="str">
        <f t="shared" si="6"/>
        <v/>
      </c>
    </row>
    <row r="22" ht="14.25" customHeight="1" outlineLevel="2">
      <c r="D22" s="9" t="s">
        <v>217</v>
      </c>
      <c r="E22" s="11" t="str">
        <f>Currency</f>
        <v>$</v>
      </c>
      <c r="F22" s="9">
        <f>ABS(PMT(L14,F13,H12))</f>
        <v>29629.52026</v>
      </c>
      <c r="L22" s="9">
        <f t="shared" ref="L22:P22" si="7">($F$22-L25)*L28</f>
        <v>22469.52026</v>
      </c>
      <c r="M22" s="9">
        <f t="shared" si="7"/>
        <v>24078.33791</v>
      </c>
      <c r="N22" s="9">
        <f t="shared" si="7"/>
        <v>25802.3469</v>
      </c>
      <c r="O22" s="9">
        <f t="shared" si="7"/>
        <v>27649.79494</v>
      </c>
      <c r="P22" s="9">
        <f t="shared" si="7"/>
        <v>0</v>
      </c>
    </row>
    <row r="23" ht="14.25" customHeight="1" outlineLevel="2">
      <c r="D23" s="58" t="s">
        <v>218</v>
      </c>
      <c r="E23" s="11" t="str">
        <f>Currency</f>
        <v>$</v>
      </c>
      <c r="K23" s="38">
        <f>K16</f>
        <v>100000</v>
      </c>
      <c r="L23" s="60">
        <f t="shared" ref="L23:P23" si="8">L20+L21-L22</f>
        <v>77530.47974</v>
      </c>
      <c r="M23" s="60">
        <f t="shared" si="8"/>
        <v>53452.14184</v>
      </c>
      <c r="N23" s="60">
        <f t="shared" si="8"/>
        <v>27649.79494</v>
      </c>
      <c r="O23" s="60">
        <f t="shared" si="8"/>
        <v>0.0000000001637090463</v>
      </c>
      <c r="P23" s="60">
        <f t="shared" si="8"/>
        <v>0.0000000001637090463</v>
      </c>
    </row>
    <row r="24" ht="14.25" customHeight="1" outlineLevel="2">
      <c r="E24" s="11"/>
    </row>
    <row r="25" ht="14.25" customHeight="1" outlineLevel="2">
      <c r="D25" s="9" t="s">
        <v>219</v>
      </c>
      <c r="E25" s="11" t="str">
        <f>Currency</f>
        <v>$</v>
      </c>
      <c r="L25" s="9">
        <f t="shared" ref="L25:P25" si="9">L20*L14</f>
        <v>7160</v>
      </c>
      <c r="M25" s="9">
        <f t="shared" si="9"/>
        <v>5551.18235</v>
      </c>
      <c r="N25" s="9">
        <f t="shared" si="9"/>
        <v>3827.173356</v>
      </c>
      <c r="O25" s="9">
        <f t="shared" si="9"/>
        <v>1979.725318</v>
      </c>
      <c r="P25" s="9">
        <f t="shared" si="9"/>
        <v>0</v>
      </c>
    </row>
    <row r="26" ht="14.25" customHeight="1" outlineLevel="2">
      <c r="E26" s="11"/>
    </row>
    <row r="27" ht="14.25" customHeight="1" outlineLevel="2">
      <c r="E27" s="11"/>
      <c r="L27" s="9">
        <f t="shared" ref="L27:P27" si="10">K27+1</f>
        <v>1</v>
      </c>
      <c r="M27" s="9">
        <f t="shared" si="10"/>
        <v>2</v>
      </c>
      <c r="N27" s="9">
        <f t="shared" si="10"/>
        <v>3</v>
      </c>
      <c r="O27" s="9">
        <f t="shared" si="10"/>
        <v>4</v>
      </c>
      <c r="P27" s="9">
        <f t="shared" si="10"/>
        <v>5</v>
      </c>
    </row>
    <row r="28" ht="14.25" customHeight="1" outlineLevel="2">
      <c r="D28" s="9" t="s">
        <v>220</v>
      </c>
      <c r="E28" s="11"/>
      <c r="L28" s="9" t="b">
        <f t="shared" ref="L28:P28" si="11">L27&lt;=$F$13</f>
        <v>1</v>
      </c>
      <c r="M28" s="9" t="b">
        <f t="shared" si="11"/>
        <v>1</v>
      </c>
      <c r="N28" s="9" t="b">
        <f t="shared" si="11"/>
        <v>1</v>
      </c>
      <c r="O28" s="9" t="b">
        <f t="shared" si="11"/>
        <v>1</v>
      </c>
      <c r="P28" s="9" t="b">
        <f t="shared" si="11"/>
        <v>0</v>
      </c>
    </row>
    <row r="29" ht="14.25" customHeight="1" outlineLevel="2">
      <c r="E29" s="11"/>
    </row>
    <row r="30" ht="14.25" customHeight="1" outlineLevel="1">
      <c r="C30" s="36" t="s">
        <v>221</v>
      </c>
      <c r="E30" s="11"/>
    </row>
    <row r="31" ht="14.25" customHeight="1" outlineLevel="2">
      <c r="D31" s="9" t="str">
        <f>Inputs!D37</f>
        <v>Equity</v>
      </c>
      <c r="E31" s="11" t="str">
        <f>Inputs!E37</f>
        <v>$</v>
      </c>
      <c r="L31" s="69">
        <f>Inputs!L37</f>
        <v>150000</v>
      </c>
      <c r="M31" s="69">
        <f>Inputs!M37</f>
        <v>0</v>
      </c>
      <c r="N31" s="69">
        <f>Inputs!N37</f>
        <v>0</v>
      </c>
      <c r="O31" s="69">
        <f>Inputs!O37</f>
        <v>0</v>
      </c>
      <c r="P31" s="69">
        <f>Inputs!P37</f>
        <v>0</v>
      </c>
    </row>
    <row r="32" ht="14.25" customHeight="1" outlineLevel="2">
      <c r="D32" s="9" t="str">
        <f>Inputs!D46</f>
        <v>Dividend payout ratio</v>
      </c>
      <c r="E32" s="11" t="str">
        <f>Inputs!E46</f>
        <v>%age</v>
      </c>
      <c r="L32" s="52">
        <f>Inputs!L46</f>
        <v>0.3</v>
      </c>
      <c r="M32" s="52">
        <f>Inputs!M46</f>
        <v>0.3</v>
      </c>
      <c r="N32" s="52">
        <f>Inputs!N46</f>
        <v>0.3</v>
      </c>
      <c r="O32" s="52">
        <f>Inputs!O46</f>
        <v>0.3</v>
      </c>
      <c r="P32" s="52">
        <f>Inputs!P46</f>
        <v>0.3</v>
      </c>
    </row>
    <row r="33" ht="14.25" customHeight="1" outlineLevel="2">
      <c r="E33" s="11"/>
    </row>
    <row r="34" ht="14.25" customHeight="1" outlineLevel="2">
      <c r="D34" s="34" t="s">
        <v>221</v>
      </c>
      <c r="E34" s="11"/>
    </row>
    <row r="35" ht="14.25" customHeight="1" outlineLevel="2">
      <c r="D35" s="9" t="s">
        <v>215</v>
      </c>
      <c r="E35" s="11" t="str">
        <f>Currency</f>
        <v>$</v>
      </c>
      <c r="L35" s="9" t="str">
        <f t="shared" ref="L35:P35" si="12">K37</f>
        <v/>
      </c>
      <c r="M35" s="38">
        <f t="shared" si="12"/>
        <v>150000</v>
      </c>
      <c r="N35" s="38">
        <f t="shared" si="12"/>
        <v>150000</v>
      </c>
      <c r="O35" s="38">
        <f t="shared" si="12"/>
        <v>150000</v>
      </c>
      <c r="P35" s="38">
        <f t="shared" si="12"/>
        <v>150000</v>
      </c>
    </row>
    <row r="36" ht="14.25" customHeight="1" outlineLevel="2">
      <c r="D36" s="9" t="s">
        <v>222</v>
      </c>
      <c r="E36" s="11" t="str">
        <f>Currency</f>
        <v>$</v>
      </c>
      <c r="L36" s="38">
        <f t="shared" ref="L36:P36" si="13">L31</f>
        <v>150000</v>
      </c>
      <c r="M36" s="38">
        <f t="shared" si="13"/>
        <v>0</v>
      </c>
      <c r="N36" s="38">
        <f t="shared" si="13"/>
        <v>0</v>
      </c>
      <c r="O36" s="38">
        <f t="shared" si="13"/>
        <v>0</v>
      </c>
      <c r="P36" s="38">
        <f t="shared" si="13"/>
        <v>0</v>
      </c>
    </row>
    <row r="37" ht="14.25" customHeight="1" outlineLevel="2">
      <c r="D37" s="9" t="s">
        <v>218</v>
      </c>
      <c r="E37" s="11" t="str">
        <f>Currency</f>
        <v>$</v>
      </c>
      <c r="L37" s="60">
        <f t="shared" ref="L37:P37" si="14">L35+L36</f>
        <v>150000</v>
      </c>
      <c r="M37" s="60">
        <f t="shared" si="14"/>
        <v>150000</v>
      </c>
      <c r="N37" s="60">
        <f t="shared" si="14"/>
        <v>150000</v>
      </c>
      <c r="O37" s="60">
        <f t="shared" si="14"/>
        <v>150000</v>
      </c>
      <c r="P37" s="60">
        <f t="shared" si="14"/>
        <v>150000</v>
      </c>
    </row>
    <row r="38" ht="14.25" customHeight="1" outlineLevel="2">
      <c r="E38" s="11"/>
    </row>
    <row r="39" ht="14.25" customHeight="1" outlineLevel="2">
      <c r="D39" s="34" t="s">
        <v>223</v>
      </c>
      <c r="E39" s="11"/>
    </row>
    <row r="40" ht="14.25" customHeight="1" outlineLevel="2">
      <c r="D40" s="9" t="s">
        <v>215</v>
      </c>
      <c r="E40" s="11" t="str">
        <f>Currency</f>
        <v>$</v>
      </c>
      <c r="L40" s="9" t="str">
        <f t="shared" ref="L40:P40" si="15">K43</f>
        <v/>
      </c>
      <c r="M40" s="38">
        <f t="shared" si="15"/>
        <v>65257.71</v>
      </c>
      <c r="N40" s="38">
        <f t="shared" si="15"/>
        <v>155803.2932</v>
      </c>
      <c r="O40" s="38">
        <f t="shared" si="15"/>
        <v>249932.6656</v>
      </c>
      <c r="P40" s="38">
        <f t="shared" si="15"/>
        <v>352598.1549</v>
      </c>
    </row>
    <row r="41" ht="14.25" customHeight="1" outlineLevel="2">
      <c r="D41" s="9" t="s">
        <v>224</v>
      </c>
      <c r="E41" s="11" t="str">
        <f>Currency</f>
        <v>$</v>
      </c>
      <c r="L41" s="9">
        <f>PL!L26*Div</f>
        <v>93225.3</v>
      </c>
      <c r="M41" s="9">
        <f>PL!M26*Div</f>
        <v>129350.8332</v>
      </c>
      <c r="N41" s="9">
        <f>PL!N26*Div</f>
        <v>134470.5319</v>
      </c>
      <c r="O41" s="9">
        <f>PL!O26*Div</f>
        <v>146664.9848</v>
      </c>
      <c r="P41" s="9">
        <f>PL!P26*Div</f>
        <v>138011.5419</v>
      </c>
    </row>
    <row r="42" ht="14.25" customHeight="1" outlineLevel="2">
      <c r="D42" s="9" t="s">
        <v>225</v>
      </c>
      <c r="E42" s="11" t="str">
        <f>Currency</f>
        <v>$</v>
      </c>
      <c r="L42" s="9">
        <f t="shared" ref="L42:P42" si="16">(L41&gt;0)*(L32*L41)</f>
        <v>27967.59</v>
      </c>
      <c r="M42" s="9">
        <f t="shared" si="16"/>
        <v>38805.24996</v>
      </c>
      <c r="N42" s="9">
        <f t="shared" si="16"/>
        <v>40341.15957</v>
      </c>
      <c r="O42" s="9">
        <f t="shared" si="16"/>
        <v>43999.49545</v>
      </c>
      <c r="P42" s="9">
        <f t="shared" si="16"/>
        <v>41403.46256</v>
      </c>
    </row>
    <row r="43" ht="14.25" customHeight="1" outlineLevel="2">
      <c r="D43" s="9" t="s">
        <v>218</v>
      </c>
      <c r="E43" s="11" t="str">
        <f>Currency</f>
        <v>$</v>
      </c>
      <c r="L43" s="60">
        <f t="shared" ref="L43:P43" si="17">L40+L41-L42</f>
        <v>65257.71</v>
      </c>
      <c r="M43" s="60">
        <f t="shared" si="17"/>
        <v>155803.2932</v>
      </c>
      <c r="N43" s="60">
        <f t="shared" si="17"/>
        <v>249932.6656</v>
      </c>
      <c r="O43" s="60">
        <f t="shared" si="17"/>
        <v>352598.1549</v>
      </c>
      <c r="P43" s="60">
        <f t="shared" si="17"/>
        <v>449206.2342</v>
      </c>
    </row>
    <row r="44" ht="14.25" customHeight="1" outlineLevel="2">
      <c r="E44" s="11"/>
    </row>
    <row r="45" ht="14.25" customHeight="1" outlineLevel="2">
      <c r="E45" s="11"/>
    </row>
    <row r="46" ht="14.25" customHeight="1">
      <c r="B46" s="47" t="s">
        <v>226</v>
      </c>
      <c r="E46" s="11"/>
    </row>
    <row r="47" ht="14.25" customHeight="1" outlineLevel="1">
      <c r="C47" s="36" t="s">
        <v>227</v>
      </c>
      <c r="E47" s="11"/>
    </row>
    <row r="48" ht="14.25" customHeight="1" outlineLevel="2">
      <c r="D48" s="9" t="s">
        <v>228</v>
      </c>
      <c r="E48" s="11" t="str">
        <f>Currency</f>
        <v>$</v>
      </c>
      <c r="L48" s="38">
        <f>SUM(Inputs!L50,Inputs!L51,Inputs!L52,Inputs!L53,Inputs!L62,Inputs!L63)</f>
        <v>48500</v>
      </c>
      <c r="M48" s="38">
        <f>SUM(Inputs!M50,Inputs!M51,Inputs!M52,Inputs!M53,Inputs!M62,Inputs!M63)</f>
        <v>0</v>
      </c>
      <c r="N48" s="38">
        <f>SUM(Inputs!N50,Inputs!N51,Inputs!N52,Inputs!N53,Inputs!N62,Inputs!N63)</f>
        <v>0</v>
      </c>
      <c r="O48" s="38">
        <f>SUM(Inputs!O50,Inputs!O51,Inputs!O52,Inputs!O53,Inputs!O62,Inputs!O63)</f>
        <v>0</v>
      </c>
      <c r="P48" s="38">
        <f>SUM(Inputs!P50,Inputs!P51,Inputs!P52,Inputs!P53,Inputs!P62,Inputs!P63)</f>
        <v>0</v>
      </c>
    </row>
    <row r="49" ht="14.25" customHeight="1" outlineLevel="2">
      <c r="D49" s="9" t="s">
        <v>155</v>
      </c>
      <c r="E49" s="11" t="str">
        <f>Currency</f>
        <v>$</v>
      </c>
      <c r="L49" s="38">
        <f>SUM(Inputs!L55:L58)</f>
        <v>53000</v>
      </c>
      <c r="M49" s="38">
        <f>SUM(Inputs!M55:M58)</f>
        <v>0</v>
      </c>
      <c r="N49" s="38">
        <f>SUM(Inputs!N55:N58)</f>
        <v>0</v>
      </c>
      <c r="O49" s="38">
        <f>SUM(Inputs!O55:O58)</f>
        <v>0</v>
      </c>
      <c r="P49" s="38">
        <f>SUM(Inputs!P55:P58)</f>
        <v>0</v>
      </c>
    </row>
    <row r="50" ht="14.25" customHeight="1" outlineLevel="2">
      <c r="D50" s="9" t="s">
        <v>160</v>
      </c>
      <c r="E50" s="11" t="str">
        <f>Currency</f>
        <v>$</v>
      </c>
      <c r="L50" s="38">
        <f>Inputs!L60</f>
        <v>75000</v>
      </c>
      <c r="M50" s="38">
        <f>Inputs!M60</f>
        <v>0</v>
      </c>
      <c r="N50" s="38">
        <f>Inputs!N60</f>
        <v>0</v>
      </c>
      <c r="O50" s="38">
        <f>Inputs!O60</f>
        <v>0</v>
      </c>
      <c r="P50" s="38">
        <f>Inputs!P60</f>
        <v>0</v>
      </c>
    </row>
    <row r="51" ht="14.25" customHeight="1" outlineLevel="2">
      <c r="D51" s="9" t="s">
        <v>229</v>
      </c>
      <c r="E51" s="11" t="str">
        <f>Currency</f>
        <v>$</v>
      </c>
      <c r="L51" s="38">
        <f>Inputs!L65+Inputs!L66</f>
        <v>20000</v>
      </c>
      <c r="M51" s="38">
        <f>Inputs!M65+Inputs!M66</f>
        <v>0</v>
      </c>
      <c r="N51" s="38">
        <f>Inputs!N65+Inputs!N66</f>
        <v>0</v>
      </c>
      <c r="O51" s="38">
        <f>Inputs!O65+Inputs!O66</f>
        <v>0</v>
      </c>
      <c r="P51" s="38">
        <f>Inputs!P65+Inputs!P66</f>
        <v>0</v>
      </c>
    </row>
    <row r="52" ht="14.25" customHeight="1" outlineLevel="2">
      <c r="D52" s="9" t="s">
        <v>230</v>
      </c>
      <c r="E52" s="11" t="str">
        <f>Currency</f>
        <v>$</v>
      </c>
      <c r="L52" s="38">
        <f>Inputs!L67</f>
        <v>53500</v>
      </c>
      <c r="M52" s="38">
        <f>Inputs!M67</f>
        <v>0</v>
      </c>
      <c r="N52" s="38">
        <f>Inputs!N67</f>
        <v>0</v>
      </c>
      <c r="O52" s="38">
        <f>Inputs!O67</f>
        <v>0</v>
      </c>
      <c r="P52" s="38">
        <f>Inputs!P67</f>
        <v>0</v>
      </c>
    </row>
    <row r="53" ht="14.25" customHeight="1" outlineLevel="2">
      <c r="D53" s="58" t="s">
        <v>169</v>
      </c>
      <c r="E53" s="11" t="str">
        <f>Currency</f>
        <v>$</v>
      </c>
      <c r="L53" s="72">
        <f t="shared" ref="L53:P53" si="18">SUM(L48:L52)</f>
        <v>250000</v>
      </c>
      <c r="M53" s="72">
        <f t="shared" si="18"/>
        <v>0</v>
      </c>
      <c r="N53" s="72">
        <f t="shared" si="18"/>
        <v>0</v>
      </c>
      <c r="O53" s="72">
        <f t="shared" si="18"/>
        <v>0</v>
      </c>
      <c r="P53" s="72">
        <f t="shared" si="18"/>
        <v>0</v>
      </c>
    </row>
    <row r="54" ht="14.25" customHeight="1" outlineLevel="2">
      <c r="E54" s="11"/>
    </row>
    <row r="55" ht="14.25" customHeight="1" outlineLevel="1">
      <c r="C55" s="36" t="s">
        <v>231</v>
      </c>
      <c r="E55" s="11"/>
    </row>
    <row r="56" ht="14.25" customHeight="1" outlineLevel="2">
      <c r="D56" s="34" t="s">
        <v>232</v>
      </c>
      <c r="E56" s="11"/>
    </row>
    <row r="57" ht="14.25" customHeight="1" outlineLevel="2">
      <c r="D57" s="9" t="str">
        <f>Inputs!D30</f>
        <v>Maintenable capex</v>
      </c>
      <c r="E57" s="11" t="str">
        <f>Inputs!E30</f>
        <v>factor of dep.</v>
      </c>
      <c r="L57" s="73">
        <f>Inputs!L30</f>
        <v>1</v>
      </c>
      <c r="M57" s="73">
        <f>Inputs!M30</f>
        <v>1.025</v>
      </c>
      <c r="N57" s="73">
        <f>Inputs!N30</f>
        <v>1.04960025</v>
      </c>
      <c r="O57" s="73">
        <f>Inputs!O30</f>
        <v>1.072798382</v>
      </c>
      <c r="P57" s="73">
        <f>Inputs!P30</f>
        <v>1.093083319</v>
      </c>
    </row>
    <row r="58" ht="14.25" customHeight="1" outlineLevel="2">
      <c r="D58" s="9" t="s">
        <v>233</v>
      </c>
      <c r="E58" s="11" t="s">
        <v>234</v>
      </c>
      <c r="L58" s="38">
        <f>Inputs!$F$58</f>
        <v>5</v>
      </c>
      <c r="M58" s="38">
        <f>Inputs!$F$58</f>
        <v>5</v>
      </c>
      <c r="N58" s="38">
        <f>Inputs!$F$58</f>
        <v>5</v>
      </c>
      <c r="O58" s="38">
        <f>Inputs!$F$58</f>
        <v>5</v>
      </c>
      <c r="P58" s="38">
        <f>Inputs!$F$58</f>
        <v>5</v>
      </c>
    </row>
    <row r="59" ht="14.25" customHeight="1" outlineLevel="2">
      <c r="E59" s="11"/>
    </row>
    <row r="60" ht="14.25" customHeight="1" outlineLevel="2">
      <c r="D60" s="34" t="s">
        <v>235</v>
      </c>
      <c r="E60" s="11"/>
    </row>
    <row r="61" ht="14.25" customHeight="1" outlineLevel="2">
      <c r="D61" s="9" t="s">
        <v>215</v>
      </c>
      <c r="E61" s="11" t="str">
        <f>Currency</f>
        <v>$</v>
      </c>
      <c r="L61" s="9" t="str">
        <f t="shared" ref="L61:P61" si="19">K64</f>
        <v/>
      </c>
      <c r="M61" s="38">
        <f t="shared" si="19"/>
        <v>47700</v>
      </c>
      <c r="N61" s="38">
        <f t="shared" si="19"/>
        <v>42532.5</v>
      </c>
      <c r="O61" s="38">
        <f t="shared" si="19"/>
        <v>43058.26265</v>
      </c>
      <c r="P61" s="38">
        <f t="shared" si="19"/>
        <v>43829.9255</v>
      </c>
    </row>
    <row r="62" ht="14.25" customHeight="1" outlineLevel="2">
      <c r="D62" s="9" t="s">
        <v>236</v>
      </c>
      <c r="E62" s="11" t="str">
        <f>Currency</f>
        <v>$</v>
      </c>
      <c r="L62" s="38">
        <f t="shared" ref="L62:P62" si="20">L49+(K63*L57)</f>
        <v>53000</v>
      </c>
      <c r="M62" s="38">
        <f t="shared" si="20"/>
        <v>5432.5</v>
      </c>
      <c r="N62" s="38">
        <f t="shared" si="20"/>
        <v>11125.76265</v>
      </c>
      <c r="O62" s="38">
        <f t="shared" si="20"/>
        <v>11371.66285</v>
      </c>
      <c r="P62" s="38">
        <f t="shared" si="20"/>
        <v>11586.68318</v>
      </c>
    </row>
    <row r="63" ht="14.25" customHeight="1" outlineLevel="2">
      <c r="D63" s="9" t="s">
        <v>237</v>
      </c>
      <c r="E63" s="11" t="str">
        <f>Currency</f>
        <v>$</v>
      </c>
      <c r="L63" s="38">
        <f t="shared" ref="L63:P63" si="21">L73</f>
        <v>5300</v>
      </c>
      <c r="M63" s="38">
        <f t="shared" si="21"/>
        <v>10600</v>
      </c>
      <c r="N63" s="38">
        <f t="shared" si="21"/>
        <v>10600</v>
      </c>
      <c r="O63" s="38">
        <f t="shared" si="21"/>
        <v>10600</v>
      </c>
      <c r="P63" s="38">
        <f t="shared" si="21"/>
        <v>10600</v>
      </c>
    </row>
    <row r="64" ht="14.25" customHeight="1" outlineLevel="2">
      <c r="D64" s="58" t="s">
        <v>218</v>
      </c>
      <c r="E64" s="11" t="str">
        <f>Currency</f>
        <v>$</v>
      </c>
      <c r="L64" s="60">
        <f t="shared" ref="L64:P64" si="22">L61+L62-L63</f>
        <v>47700</v>
      </c>
      <c r="M64" s="60">
        <f t="shared" si="22"/>
        <v>42532.5</v>
      </c>
      <c r="N64" s="60">
        <f t="shared" si="22"/>
        <v>43058.26265</v>
      </c>
      <c r="O64" s="60">
        <f t="shared" si="22"/>
        <v>43829.9255</v>
      </c>
      <c r="P64" s="60">
        <f t="shared" si="22"/>
        <v>44816.60868</v>
      </c>
    </row>
    <row r="65" ht="14.25" customHeight="1" outlineLevel="2">
      <c r="E65" s="11"/>
    </row>
    <row r="66" ht="14.25" customHeight="1" outlineLevel="2">
      <c r="E66" s="11"/>
    </row>
    <row r="67" ht="14.25" customHeight="1" outlineLevel="2">
      <c r="E67" s="11"/>
      <c r="J67" s="74" t="s">
        <v>115</v>
      </c>
      <c r="K67" s="74" t="s">
        <v>238</v>
      </c>
      <c r="L67" s="75">
        <f t="shared" ref="L67:P67" si="23">L6</f>
        <v>2022</v>
      </c>
      <c r="M67" s="75">
        <f t="shared" si="23"/>
        <v>2023</v>
      </c>
      <c r="N67" s="75">
        <f t="shared" si="23"/>
        <v>2024</v>
      </c>
      <c r="O67" s="75">
        <f t="shared" si="23"/>
        <v>2025</v>
      </c>
      <c r="P67" s="75">
        <f t="shared" si="23"/>
        <v>2026</v>
      </c>
    </row>
    <row r="68" ht="14.25" customHeight="1" outlineLevel="2">
      <c r="E68" s="11"/>
      <c r="J68" s="48">
        <f t="array" ref="J68:J72">TRANSPOSE(L6:P6)</f>
        <v>2022</v>
      </c>
      <c r="K68" s="38">
        <f t="array" ref="K68">TRANSPOSE(L62:P62)</f>
        <v>53000</v>
      </c>
      <c r="L68" s="76">
        <f>($K68/L$58)/2</f>
        <v>5300</v>
      </c>
      <c r="M68" s="76">
        <f t="shared" ref="M68:P68" si="24">$K68/M$58</f>
        <v>10600</v>
      </c>
      <c r="N68" s="76">
        <f t="shared" si="24"/>
        <v>10600</v>
      </c>
      <c r="O68" s="76">
        <f t="shared" si="24"/>
        <v>10600</v>
      </c>
      <c r="P68" s="76">
        <f t="shared" si="24"/>
        <v>10600</v>
      </c>
    </row>
    <row r="69" ht="14.25" customHeight="1" outlineLevel="2">
      <c r="E69" s="11"/>
      <c r="J69" s="48">
        <v>2023.0</v>
      </c>
      <c r="L69" s="76"/>
      <c r="M69" s="76">
        <f>($K69/M$58)/2</f>
        <v>0</v>
      </c>
      <c r="N69" s="76">
        <f t="shared" ref="N69:P69" si="25">$K69/N$58</f>
        <v>0</v>
      </c>
      <c r="O69" s="76">
        <f t="shared" si="25"/>
        <v>0</v>
      </c>
      <c r="P69" s="76">
        <f t="shared" si="25"/>
        <v>0</v>
      </c>
    </row>
    <row r="70" ht="14.25" customHeight="1" outlineLevel="2">
      <c r="E70" s="11"/>
      <c r="J70" s="48">
        <v>2024.0</v>
      </c>
      <c r="L70" s="76"/>
      <c r="M70" s="76"/>
      <c r="N70" s="76">
        <f>($K70/N$58)/2</f>
        <v>0</v>
      </c>
      <c r="O70" s="76">
        <f t="shared" ref="O70:P70" si="26">$K70/O$58</f>
        <v>0</v>
      </c>
      <c r="P70" s="76">
        <f t="shared" si="26"/>
        <v>0</v>
      </c>
    </row>
    <row r="71" ht="14.25" customHeight="1" outlineLevel="2">
      <c r="E71" s="11"/>
      <c r="J71" s="48">
        <v>2025.0</v>
      </c>
      <c r="L71" s="76"/>
      <c r="M71" s="76"/>
      <c r="N71" s="76"/>
      <c r="O71" s="76">
        <f>($K71/O$58)/2</f>
        <v>0</v>
      </c>
      <c r="P71" s="76">
        <f>$K71/P$58</f>
        <v>0</v>
      </c>
    </row>
    <row r="72" ht="14.25" customHeight="1" outlineLevel="2">
      <c r="E72" s="11"/>
      <c r="J72" s="48">
        <v>2026.0</v>
      </c>
      <c r="L72" s="76"/>
      <c r="M72" s="76"/>
      <c r="N72" s="76"/>
      <c r="O72" s="76"/>
      <c r="P72" s="76">
        <f>($K72/P$58)/2</f>
        <v>0</v>
      </c>
    </row>
    <row r="73" ht="14.25" customHeight="1" outlineLevel="2">
      <c r="E73" s="11"/>
      <c r="K73" s="58" t="s">
        <v>239</v>
      </c>
      <c r="L73" s="58">
        <f t="shared" ref="L73:P73" si="27">SUM(L68:L72)</f>
        <v>5300</v>
      </c>
      <c r="M73" s="58">
        <f t="shared" si="27"/>
        <v>10600</v>
      </c>
      <c r="N73" s="58">
        <f t="shared" si="27"/>
        <v>10600</v>
      </c>
      <c r="O73" s="58">
        <f t="shared" si="27"/>
        <v>10600</v>
      </c>
      <c r="P73" s="58">
        <f t="shared" si="27"/>
        <v>10600</v>
      </c>
    </row>
    <row r="74" ht="14.25" customHeight="1" outlineLevel="2">
      <c r="E74" s="11"/>
    </row>
    <row r="75" ht="14.25" customHeight="1" outlineLevel="2">
      <c r="E75" s="11"/>
    </row>
    <row r="76" ht="14.25" customHeight="1">
      <c r="B76" s="47" t="s">
        <v>240</v>
      </c>
      <c r="E76" s="11"/>
    </row>
    <row r="77" ht="14.25" customHeight="1" outlineLevel="1">
      <c r="C77" s="36" t="s">
        <v>195</v>
      </c>
      <c r="E77" s="11"/>
    </row>
    <row r="78" ht="14.25" customHeight="1" outlineLevel="2">
      <c r="D78" s="34" t="s">
        <v>241</v>
      </c>
      <c r="E78" s="11"/>
    </row>
    <row r="79" ht="14.25" customHeight="1" outlineLevel="2">
      <c r="D79" s="9" t="str">
        <f>Inputs!D13</f>
        <v>Month in a period</v>
      </c>
      <c r="E79" s="11" t="str">
        <f>Inputs!E13</f>
        <v>month</v>
      </c>
      <c r="L79" s="69">
        <f>Inputs!L13</f>
        <v>12</v>
      </c>
      <c r="M79" s="69">
        <f>Inputs!M13</f>
        <v>12</v>
      </c>
      <c r="N79" s="69">
        <f>Inputs!N13</f>
        <v>12</v>
      </c>
      <c r="O79" s="69">
        <f>Inputs!O13</f>
        <v>12</v>
      </c>
      <c r="P79" s="69">
        <f>Inputs!P13</f>
        <v>12</v>
      </c>
    </row>
    <row r="80" ht="14.25" customHeight="1" outlineLevel="2">
      <c r="D80" s="9" t="str">
        <f>Inputs!D17</f>
        <v>Inflation rate</v>
      </c>
      <c r="E80" s="11" t="str">
        <f>Inputs!E17</f>
        <v>%age</v>
      </c>
      <c r="L80" s="52">
        <f>Inputs!L17</f>
        <v>0</v>
      </c>
      <c r="M80" s="52">
        <f>Inputs!M17</f>
        <v>0.025</v>
      </c>
      <c r="N80" s="52">
        <f>Inputs!N17</f>
        <v>0.0245</v>
      </c>
      <c r="O80" s="52">
        <f>Inputs!O17</f>
        <v>0.0237</v>
      </c>
      <c r="P80" s="52">
        <f>Inputs!P17</f>
        <v>0.0225</v>
      </c>
    </row>
    <row r="81" ht="14.25" customHeight="1" outlineLevel="2">
      <c r="D81" s="9" t="str">
        <f>Inputs!D21</f>
        <v>Product pricing growth</v>
      </c>
      <c r="E81" s="11" t="str">
        <f>Inputs!E21</f>
        <v>%age</v>
      </c>
      <c r="L81" s="52">
        <f>Inputs!L21</f>
        <v>0</v>
      </c>
      <c r="M81" s="52">
        <f>Inputs!M21</f>
        <v>0</v>
      </c>
      <c r="N81" s="52">
        <f>Inputs!N21</f>
        <v>0</v>
      </c>
      <c r="O81" s="52">
        <f>Inputs!O21</f>
        <v>0</v>
      </c>
      <c r="P81" s="52">
        <f>Inputs!P21</f>
        <v>0</v>
      </c>
    </row>
    <row r="82" ht="14.25" customHeight="1" outlineLevel="2">
      <c r="D82" s="9" t="str">
        <f>Inputs!D24</f>
        <v>Volume growth rate (CAGR)</v>
      </c>
      <c r="E82" s="11" t="str">
        <f>Inputs!E24</f>
        <v>%age</v>
      </c>
      <c r="L82" s="52">
        <f>Inputs!L24</f>
        <v>0</v>
      </c>
      <c r="M82" s="52">
        <f>Inputs!M24</f>
        <v>0.045</v>
      </c>
      <c r="N82" s="52">
        <f>Inputs!N24</f>
        <v>0.055</v>
      </c>
      <c r="O82" s="52">
        <f>Inputs!O24</f>
        <v>0.1005</v>
      </c>
      <c r="P82" s="52">
        <f>Inputs!P24</f>
        <v>0.025</v>
      </c>
    </row>
    <row r="83" ht="14.25" customHeight="1" outlineLevel="2">
      <c r="D83" s="9" t="str">
        <f>Inputs!D130</f>
        <v>Other cost</v>
      </c>
      <c r="E83" s="11" t="str">
        <f>Inputs!E130</f>
        <v>%age of sales</v>
      </c>
      <c r="L83" s="52">
        <f>Inputs!$F$130</f>
        <v>0.025</v>
      </c>
      <c r="M83" s="52">
        <f>Inputs!$F$130</f>
        <v>0.025</v>
      </c>
      <c r="N83" s="52">
        <f>Inputs!$F$130</f>
        <v>0.025</v>
      </c>
      <c r="O83" s="52">
        <f>Inputs!$F$130</f>
        <v>0.025</v>
      </c>
      <c r="P83" s="52">
        <f>Inputs!$F$130</f>
        <v>0.025</v>
      </c>
    </row>
    <row r="84" ht="14.25" customHeight="1" outlineLevel="2">
      <c r="E84" s="11"/>
    </row>
    <row r="85" ht="14.25" customHeight="1" outlineLevel="2">
      <c r="D85" s="34" t="str">
        <f>Inputs!D114</f>
        <v>Product Price</v>
      </c>
      <c r="E85" s="11"/>
    </row>
    <row r="86" ht="14.25" customHeight="1" outlineLevel="2">
      <c r="D86" s="9" t="str">
        <f>Inputs!D115</f>
        <v>Paint Size 1</v>
      </c>
      <c r="E86" s="11" t="str">
        <f>Inputs!E115</f>
        <v>$/unit</v>
      </c>
      <c r="K86" s="69">
        <f>Inputs!F115</f>
        <v>159</v>
      </c>
      <c r="L86" s="9">
        <f t="shared" ref="L86:P86" si="28">K86*(1+L$81)</f>
        <v>159</v>
      </c>
      <c r="M86" s="9">
        <f t="shared" si="28"/>
        <v>159</v>
      </c>
      <c r="N86" s="9">
        <f t="shared" si="28"/>
        <v>159</v>
      </c>
      <c r="O86" s="9">
        <f t="shared" si="28"/>
        <v>159</v>
      </c>
      <c r="P86" s="9">
        <f t="shared" si="28"/>
        <v>159</v>
      </c>
    </row>
    <row r="87" ht="14.25" customHeight="1" outlineLevel="2">
      <c r="D87" s="9" t="str">
        <f>Inputs!D116</f>
        <v>Paint Size 2</v>
      </c>
      <c r="E87" s="11" t="str">
        <f>Inputs!E116</f>
        <v>$/unit</v>
      </c>
      <c r="K87" s="69">
        <f>Inputs!F116</f>
        <v>79</v>
      </c>
      <c r="L87" s="9">
        <f t="shared" ref="L87:P87" si="29">K87*(1+L$81)</f>
        <v>79</v>
      </c>
      <c r="M87" s="9">
        <f t="shared" si="29"/>
        <v>79</v>
      </c>
      <c r="N87" s="9">
        <f t="shared" si="29"/>
        <v>79</v>
      </c>
      <c r="O87" s="9">
        <f t="shared" si="29"/>
        <v>79</v>
      </c>
      <c r="P87" s="9">
        <f t="shared" si="29"/>
        <v>79</v>
      </c>
    </row>
    <row r="88" ht="14.25" customHeight="1" outlineLevel="2">
      <c r="D88" s="9" t="str">
        <f>Inputs!D117</f>
        <v>Paint Size 3</v>
      </c>
      <c r="E88" s="11" t="str">
        <f>Inputs!E117</f>
        <v>$/unit</v>
      </c>
      <c r="K88" s="69">
        <f>Inputs!F117</f>
        <v>49</v>
      </c>
      <c r="L88" s="9">
        <f t="shared" ref="L88:P88" si="30">K88*(1+L$81)</f>
        <v>49</v>
      </c>
      <c r="M88" s="9">
        <f t="shared" si="30"/>
        <v>49</v>
      </c>
      <c r="N88" s="9">
        <f t="shared" si="30"/>
        <v>49</v>
      </c>
      <c r="O88" s="9">
        <f t="shared" si="30"/>
        <v>49</v>
      </c>
      <c r="P88" s="9">
        <f t="shared" si="30"/>
        <v>49</v>
      </c>
    </row>
    <row r="89" ht="14.25" customHeight="1" outlineLevel="2">
      <c r="E89" s="11"/>
    </row>
    <row r="90" ht="14.25" customHeight="1" outlineLevel="2">
      <c r="D90" s="34" t="str">
        <f>Inputs!D119</f>
        <v>Product Quantity</v>
      </c>
      <c r="E90" s="11"/>
    </row>
    <row r="91" ht="14.25" customHeight="1" outlineLevel="2">
      <c r="D91" s="9" t="str">
        <f>Inputs!D120</f>
        <v>Paint Size 1</v>
      </c>
      <c r="E91" s="11" t="str">
        <f>Inputs!E120</f>
        <v>units/month</v>
      </c>
      <c r="K91" s="69">
        <f>Inputs!F120</f>
        <v>200</v>
      </c>
      <c r="L91" s="9">
        <f t="shared" ref="L91:P91" si="31">K91*(1+L$82)</f>
        <v>200</v>
      </c>
      <c r="M91" s="9">
        <f t="shared" si="31"/>
        <v>209</v>
      </c>
      <c r="N91" s="9">
        <f t="shared" si="31"/>
        <v>220.495</v>
      </c>
      <c r="O91" s="9">
        <f t="shared" si="31"/>
        <v>242.6547475</v>
      </c>
      <c r="P91" s="9">
        <f t="shared" si="31"/>
        <v>248.7211162</v>
      </c>
    </row>
    <row r="92" ht="14.25" customHeight="1" outlineLevel="2">
      <c r="D92" s="9" t="str">
        <f>Inputs!D121</f>
        <v>Paint Size 2</v>
      </c>
      <c r="E92" s="11" t="str">
        <f>Inputs!E121</f>
        <v>units/month</v>
      </c>
      <c r="K92" s="69">
        <f>Inputs!F121</f>
        <v>300</v>
      </c>
      <c r="L92" s="9">
        <f t="shared" ref="L92:P92" si="32">K92*(1+L$82)</f>
        <v>300</v>
      </c>
      <c r="M92" s="9">
        <f t="shared" si="32"/>
        <v>313.5</v>
      </c>
      <c r="N92" s="9">
        <f t="shared" si="32"/>
        <v>330.7425</v>
      </c>
      <c r="O92" s="9">
        <f t="shared" si="32"/>
        <v>363.9821213</v>
      </c>
      <c r="P92" s="9">
        <f t="shared" si="32"/>
        <v>373.0816743</v>
      </c>
    </row>
    <row r="93" ht="14.25" customHeight="1" outlineLevel="2">
      <c r="D93" s="9" t="str">
        <f>Inputs!D122</f>
        <v>Paint Size 3</v>
      </c>
      <c r="E93" s="11" t="str">
        <f>Inputs!E122</f>
        <v>units/month</v>
      </c>
      <c r="K93" s="69">
        <f>Inputs!F122</f>
        <v>400</v>
      </c>
      <c r="L93" s="9">
        <f t="shared" ref="L93:P93" si="33">K93*(1+L$82)</f>
        <v>400</v>
      </c>
      <c r="M93" s="9">
        <f t="shared" si="33"/>
        <v>418</v>
      </c>
      <c r="N93" s="9">
        <f t="shared" si="33"/>
        <v>440.99</v>
      </c>
      <c r="O93" s="9">
        <f t="shared" si="33"/>
        <v>485.309495</v>
      </c>
      <c r="P93" s="9">
        <f t="shared" si="33"/>
        <v>497.4422324</v>
      </c>
    </row>
    <row r="94" ht="14.25" customHeight="1" outlineLevel="2">
      <c r="E94" s="11"/>
    </row>
    <row r="95" ht="14.25" customHeight="1" outlineLevel="2">
      <c r="D95" s="34" t="str">
        <f t="shared" ref="D95:D98" si="34">D90</f>
        <v>Product Quantity</v>
      </c>
      <c r="E95" s="11"/>
    </row>
    <row r="96" ht="14.25" customHeight="1" outlineLevel="2">
      <c r="D96" s="9" t="str">
        <f t="shared" si="34"/>
        <v>Paint Size 1</v>
      </c>
      <c r="E96" s="11" t="s">
        <v>242</v>
      </c>
      <c r="L96" s="9">
        <f t="shared" ref="L96:P96" si="35">L91*L$79</f>
        <v>2400</v>
      </c>
      <c r="M96" s="9">
        <f t="shared" si="35"/>
        <v>2508</v>
      </c>
      <c r="N96" s="9">
        <f t="shared" si="35"/>
        <v>2645.94</v>
      </c>
      <c r="O96" s="9">
        <f t="shared" si="35"/>
        <v>2911.85697</v>
      </c>
      <c r="P96" s="9">
        <f t="shared" si="35"/>
        <v>2984.653394</v>
      </c>
    </row>
    <row r="97" ht="14.25" customHeight="1" outlineLevel="2">
      <c r="D97" s="9" t="str">
        <f t="shared" si="34"/>
        <v>Paint Size 2</v>
      </c>
      <c r="E97" s="11" t="s">
        <v>242</v>
      </c>
      <c r="L97" s="9">
        <f t="shared" ref="L97:P97" si="36">L92*L$79</f>
        <v>3600</v>
      </c>
      <c r="M97" s="9">
        <f t="shared" si="36"/>
        <v>3762</v>
      </c>
      <c r="N97" s="9">
        <f t="shared" si="36"/>
        <v>3968.91</v>
      </c>
      <c r="O97" s="9">
        <f t="shared" si="36"/>
        <v>4367.785455</v>
      </c>
      <c r="P97" s="9">
        <f t="shared" si="36"/>
        <v>4476.980091</v>
      </c>
    </row>
    <row r="98" ht="14.25" customHeight="1" outlineLevel="2">
      <c r="D98" s="9" t="str">
        <f t="shared" si="34"/>
        <v>Paint Size 3</v>
      </c>
      <c r="E98" s="11" t="s">
        <v>242</v>
      </c>
      <c r="L98" s="9">
        <f t="shared" ref="L98:P98" si="37">L93*L$79</f>
        <v>4800</v>
      </c>
      <c r="M98" s="9">
        <f t="shared" si="37"/>
        <v>5016</v>
      </c>
      <c r="N98" s="9">
        <f t="shared" si="37"/>
        <v>5291.88</v>
      </c>
      <c r="O98" s="9">
        <f t="shared" si="37"/>
        <v>5823.71394</v>
      </c>
      <c r="P98" s="9">
        <f t="shared" si="37"/>
        <v>5969.306789</v>
      </c>
    </row>
    <row r="99" ht="14.25" customHeight="1" outlineLevel="2">
      <c r="D99" s="58" t="s">
        <v>243</v>
      </c>
      <c r="E99" s="11" t="s">
        <v>242</v>
      </c>
      <c r="L99" s="72">
        <f t="shared" ref="L99:P99" si="38">SUM(L96:L98)</f>
        <v>10800</v>
      </c>
      <c r="M99" s="72">
        <f t="shared" si="38"/>
        <v>11286</v>
      </c>
      <c r="N99" s="72">
        <f t="shared" si="38"/>
        <v>11906.73</v>
      </c>
      <c r="O99" s="72">
        <f t="shared" si="38"/>
        <v>13103.35637</v>
      </c>
      <c r="P99" s="72">
        <f t="shared" si="38"/>
        <v>13430.94027</v>
      </c>
    </row>
    <row r="100" ht="14.25" customHeight="1" outlineLevel="2">
      <c r="E100" s="11"/>
    </row>
    <row r="101" ht="14.25" customHeight="1" outlineLevel="2">
      <c r="D101" s="34" t="s">
        <v>195</v>
      </c>
      <c r="E101" s="11"/>
    </row>
    <row r="102" ht="14.25" customHeight="1" outlineLevel="2">
      <c r="D102" s="9" t="str">
        <f t="shared" ref="D102:D104" si="40">D96</f>
        <v>Paint Size 1</v>
      </c>
      <c r="E102" s="11" t="str">
        <f>Currency&amp;"/year"</f>
        <v>$/year</v>
      </c>
      <c r="L102" s="9">
        <f t="shared" ref="L102:P102" si="39">L86*L96</f>
        <v>381600</v>
      </c>
      <c r="M102" s="9">
        <f t="shared" si="39"/>
        <v>398772</v>
      </c>
      <c r="N102" s="9">
        <f t="shared" si="39"/>
        <v>420704.46</v>
      </c>
      <c r="O102" s="9">
        <f t="shared" si="39"/>
        <v>462985.2582</v>
      </c>
      <c r="P102" s="9">
        <f t="shared" si="39"/>
        <v>474559.8897</v>
      </c>
    </row>
    <row r="103" ht="14.25" customHeight="1" outlineLevel="2">
      <c r="D103" s="9" t="str">
        <f t="shared" si="40"/>
        <v>Paint Size 2</v>
      </c>
      <c r="E103" s="11" t="str">
        <f>Currency&amp;"/year"</f>
        <v>$/year</v>
      </c>
      <c r="L103" s="9">
        <f t="shared" ref="L103:P103" si="41">L87*L97</f>
        <v>284400</v>
      </c>
      <c r="M103" s="9">
        <f t="shared" si="41"/>
        <v>297198</v>
      </c>
      <c r="N103" s="9">
        <f t="shared" si="41"/>
        <v>313543.89</v>
      </c>
      <c r="O103" s="9">
        <f t="shared" si="41"/>
        <v>345055.0509</v>
      </c>
      <c r="P103" s="9">
        <f t="shared" si="41"/>
        <v>353681.4272</v>
      </c>
    </row>
    <row r="104" ht="14.25" customHeight="1" outlineLevel="2">
      <c r="D104" s="9" t="str">
        <f t="shared" si="40"/>
        <v>Paint Size 3</v>
      </c>
      <c r="E104" s="11" t="str">
        <f>Currency&amp;"/year"</f>
        <v>$/year</v>
      </c>
      <c r="L104" s="9">
        <f t="shared" ref="L104:P104" si="42">L88*L98</f>
        <v>235200</v>
      </c>
      <c r="M104" s="9">
        <f t="shared" si="42"/>
        <v>245784</v>
      </c>
      <c r="N104" s="9">
        <f t="shared" si="42"/>
        <v>259302.12</v>
      </c>
      <c r="O104" s="9">
        <f t="shared" si="42"/>
        <v>285361.9831</v>
      </c>
      <c r="P104" s="9">
        <f t="shared" si="42"/>
        <v>292496.0326</v>
      </c>
    </row>
    <row r="105" ht="14.25" customHeight="1" outlineLevel="2">
      <c r="D105" s="58" t="s">
        <v>244</v>
      </c>
      <c r="E105" s="11" t="str">
        <f>Currency&amp;"/year"</f>
        <v>$/year</v>
      </c>
      <c r="L105" s="60">
        <f t="shared" ref="L105:P105" si="43">SUM(L102:L104)</f>
        <v>901200</v>
      </c>
      <c r="M105" s="60">
        <f t="shared" si="43"/>
        <v>941754</v>
      </c>
      <c r="N105" s="60">
        <f t="shared" si="43"/>
        <v>993550.47</v>
      </c>
      <c r="O105" s="60">
        <f t="shared" si="43"/>
        <v>1093402.292</v>
      </c>
      <c r="P105" s="60">
        <f t="shared" si="43"/>
        <v>1120737.35</v>
      </c>
    </row>
    <row r="106" ht="14.25" customHeight="1" outlineLevel="2">
      <c r="E106" s="11"/>
    </row>
    <row r="107" ht="14.25" customHeight="1" outlineLevel="1">
      <c r="C107" s="36" t="s">
        <v>203</v>
      </c>
      <c r="E107" s="11"/>
    </row>
    <row r="108" ht="14.25" customHeight="1" outlineLevel="2">
      <c r="D108" s="34" t="str">
        <f>Inputs!D125</f>
        <v>Cost of Product</v>
      </c>
      <c r="E108" s="11"/>
    </row>
    <row r="109" ht="14.25" customHeight="1" outlineLevel="2">
      <c r="D109" s="9" t="str">
        <f>Inputs!D126</f>
        <v>Paint Size 1</v>
      </c>
      <c r="E109" s="11" t="str">
        <f>Inputs!E126</f>
        <v>$/unit</v>
      </c>
      <c r="K109" s="69">
        <f>Inputs!F126</f>
        <v>89.6</v>
      </c>
      <c r="L109" s="9">
        <f t="shared" ref="L109:P109" si="44">K109*(1+L$80)</f>
        <v>89.6</v>
      </c>
      <c r="M109" s="9">
        <f t="shared" si="44"/>
        <v>91.84</v>
      </c>
      <c r="N109" s="9">
        <f t="shared" si="44"/>
        <v>94.09008</v>
      </c>
      <c r="O109" s="9">
        <f t="shared" si="44"/>
        <v>96.3200149</v>
      </c>
      <c r="P109" s="9">
        <f t="shared" si="44"/>
        <v>98.48721523</v>
      </c>
    </row>
    <row r="110" ht="14.25" customHeight="1" outlineLevel="2">
      <c r="D110" s="9" t="str">
        <f>Inputs!D127</f>
        <v>Paint Size 2</v>
      </c>
      <c r="E110" s="11" t="str">
        <f>Inputs!E127</f>
        <v>$/unit</v>
      </c>
      <c r="K110" s="69">
        <f>Inputs!F127</f>
        <v>41.7</v>
      </c>
      <c r="L110" s="9">
        <f t="shared" ref="L110:P110" si="45">K110*(1+L$80)</f>
        <v>41.7</v>
      </c>
      <c r="M110" s="9">
        <f t="shared" si="45"/>
        <v>42.7425</v>
      </c>
      <c r="N110" s="9">
        <f t="shared" si="45"/>
        <v>43.78969125</v>
      </c>
      <c r="O110" s="9">
        <f t="shared" si="45"/>
        <v>44.82750693</v>
      </c>
      <c r="P110" s="9">
        <f t="shared" si="45"/>
        <v>45.83612584</v>
      </c>
    </row>
    <row r="111" ht="14.25" customHeight="1" outlineLevel="2">
      <c r="D111" s="9" t="str">
        <f>Inputs!D128</f>
        <v>Paint Size 3</v>
      </c>
      <c r="E111" s="11" t="str">
        <f>Inputs!E128</f>
        <v>$/unit</v>
      </c>
      <c r="K111" s="69">
        <f>Inputs!F128</f>
        <v>21.5</v>
      </c>
      <c r="L111" s="9">
        <f t="shared" ref="L111:P111" si="46">K111*(1+L$80)</f>
        <v>21.5</v>
      </c>
      <c r="M111" s="9">
        <f t="shared" si="46"/>
        <v>22.0375</v>
      </c>
      <c r="N111" s="9">
        <f t="shared" si="46"/>
        <v>22.57741875</v>
      </c>
      <c r="O111" s="9">
        <f t="shared" si="46"/>
        <v>23.11250357</v>
      </c>
      <c r="P111" s="9">
        <f t="shared" si="46"/>
        <v>23.6325349</v>
      </c>
    </row>
    <row r="112" ht="14.25" customHeight="1" outlineLevel="2">
      <c r="E112" s="11"/>
    </row>
    <row r="113" ht="14.25" customHeight="1" outlineLevel="2">
      <c r="D113" s="34" t="str">
        <f t="shared" ref="D113:D116" si="47">D95</f>
        <v>Product Quantity</v>
      </c>
      <c r="E113" s="11"/>
    </row>
    <row r="114" ht="14.25" customHeight="1" outlineLevel="2">
      <c r="D114" s="9" t="str">
        <f t="shared" si="47"/>
        <v>Paint Size 1</v>
      </c>
      <c r="E114" s="11" t="str">
        <f t="shared" ref="E114:E116" si="49">E96</f>
        <v>units/year</v>
      </c>
      <c r="L114" s="69">
        <f t="shared" ref="L114:P114" si="48">L96</f>
        <v>2400</v>
      </c>
      <c r="M114" s="69">
        <f t="shared" si="48"/>
        <v>2508</v>
      </c>
      <c r="N114" s="69">
        <f t="shared" si="48"/>
        <v>2645.94</v>
      </c>
      <c r="O114" s="69">
        <f t="shared" si="48"/>
        <v>2911.85697</v>
      </c>
      <c r="P114" s="69">
        <f t="shared" si="48"/>
        <v>2984.653394</v>
      </c>
    </row>
    <row r="115" ht="14.25" customHeight="1" outlineLevel="2">
      <c r="D115" s="9" t="str">
        <f t="shared" si="47"/>
        <v>Paint Size 2</v>
      </c>
      <c r="E115" s="11" t="str">
        <f t="shared" si="49"/>
        <v>units/year</v>
      </c>
      <c r="L115" s="69">
        <f t="shared" ref="L115:P115" si="50">L97</f>
        <v>3600</v>
      </c>
      <c r="M115" s="69">
        <f t="shared" si="50"/>
        <v>3762</v>
      </c>
      <c r="N115" s="69">
        <f t="shared" si="50"/>
        <v>3968.91</v>
      </c>
      <c r="O115" s="69">
        <f t="shared" si="50"/>
        <v>4367.785455</v>
      </c>
      <c r="P115" s="69">
        <f t="shared" si="50"/>
        <v>4476.980091</v>
      </c>
    </row>
    <row r="116" ht="14.25" customHeight="1" outlineLevel="2">
      <c r="D116" s="9" t="str">
        <f t="shared" si="47"/>
        <v>Paint Size 3</v>
      </c>
      <c r="E116" s="11" t="str">
        <f t="shared" si="49"/>
        <v>units/year</v>
      </c>
      <c r="L116" s="69">
        <f t="shared" ref="L116:P116" si="51">L98</f>
        <v>4800</v>
      </c>
      <c r="M116" s="69">
        <f t="shared" si="51"/>
        <v>5016</v>
      </c>
      <c r="N116" s="69">
        <f t="shared" si="51"/>
        <v>5291.88</v>
      </c>
      <c r="O116" s="69">
        <f t="shared" si="51"/>
        <v>5823.71394</v>
      </c>
      <c r="P116" s="69">
        <f t="shared" si="51"/>
        <v>5969.306789</v>
      </c>
    </row>
    <row r="117" ht="14.25" customHeight="1" outlineLevel="2">
      <c r="E117" s="11"/>
    </row>
    <row r="118" ht="14.25" customHeight="1" outlineLevel="2">
      <c r="D118" s="34" t="s">
        <v>245</v>
      </c>
      <c r="E118" s="11"/>
    </row>
    <row r="119" ht="14.25" customHeight="1" outlineLevel="2">
      <c r="D119" s="9" t="str">
        <f t="shared" ref="D119:D121" si="53">D109</f>
        <v>Paint Size 1</v>
      </c>
      <c r="E119" s="11" t="str">
        <f>Currency&amp;"/year"</f>
        <v>$/year</v>
      </c>
      <c r="L119" s="9">
        <f t="shared" ref="L119:P119" si="52">L109*L114</f>
        <v>215040</v>
      </c>
      <c r="M119" s="9">
        <f t="shared" si="52"/>
        <v>230334.72</v>
      </c>
      <c r="N119" s="9">
        <f t="shared" si="52"/>
        <v>248956.7063</v>
      </c>
      <c r="O119" s="9">
        <f t="shared" si="52"/>
        <v>280470.1067</v>
      </c>
      <c r="P119" s="9">
        <f t="shared" si="52"/>
        <v>293950.2012</v>
      </c>
    </row>
    <row r="120" ht="14.25" customHeight="1" outlineLevel="2">
      <c r="D120" s="9" t="str">
        <f t="shared" si="53"/>
        <v>Paint Size 2</v>
      </c>
      <c r="E120" s="11" t="str">
        <f>Currency&amp;"/year"</f>
        <v>$/year</v>
      </c>
      <c r="L120" s="9">
        <f t="shared" ref="L120:P120" si="54">L110*L115</f>
        <v>150120</v>
      </c>
      <c r="M120" s="9">
        <f t="shared" si="54"/>
        <v>160797.285</v>
      </c>
      <c r="N120" s="9">
        <f t="shared" si="54"/>
        <v>173797.3435</v>
      </c>
      <c r="O120" s="9">
        <f t="shared" si="54"/>
        <v>195796.9328</v>
      </c>
      <c r="P120" s="9">
        <f t="shared" si="54"/>
        <v>205207.4228</v>
      </c>
    </row>
    <row r="121" ht="14.25" customHeight="1" outlineLevel="2">
      <c r="D121" s="9" t="str">
        <f t="shared" si="53"/>
        <v>Paint Size 3</v>
      </c>
      <c r="E121" s="11" t="str">
        <f>Currency&amp;"/year"</f>
        <v>$/year</v>
      </c>
      <c r="L121" s="9">
        <f t="shared" ref="L121:P121" si="55">L111*L116</f>
        <v>103200</v>
      </c>
      <c r="M121" s="9">
        <f t="shared" si="55"/>
        <v>110540.1</v>
      </c>
      <c r="N121" s="9">
        <f t="shared" si="55"/>
        <v>119476.9907</v>
      </c>
      <c r="O121" s="9">
        <f t="shared" si="55"/>
        <v>134600.6093</v>
      </c>
      <c r="P121" s="9">
        <f t="shared" si="55"/>
        <v>141069.851</v>
      </c>
    </row>
    <row r="122" ht="14.25" customHeight="1" outlineLevel="2">
      <c r="D122" s="9" t="s">
        <v>246</v>
      </c>
      <c r="E122" s="11" t="str">
        <f>Currency&amp;"/year"</f>
        <v>$/year</v>
      </c>
      <c r="L122" s="9">
        <f t="shared" ref="L122:P122" si="56">L105*L83</f>
        <v>22530</v>
      </c>
      <c r="M122" s="9">
        <f t="shared" si="56"/>
        <v>23543.85</v>
      </c>
      <c r="N122" s="9">
        <f t="shared" si="56"/>
        <v>24838.76175</v>
      </c>
      <c r="O122" s="9">
        <f t="shared" si="56"/>
        <v>27335.05731</v>
      </c>
      <c r="P122" s="9">
        <f t="shared" si="56"/>
        <v>28018.43374</v>
      </c>
    </row>
    <row r="123" ht="14.25" customHeight="1" outlineLevel="2">
      <c r="D123" s="58" t="s">
        <v>247</v>
      </c>
      <c r="E123" s="11" t="str">
        <f>Currency&amp;"/year"</f>
        <v>$/year</v>
      </c>
      <c r="L123" s="60">
        <f t="shared" ref="L123:P123" si="57">SUM(L119:L122)</f>
        <v>490890</v>
      </c>
      <c r="M123" s="60">
        <f t="shared" si="57"/>
        <v>525215.955</v>
      </c>
      <c r="N123" s="60">
        <f t="shared" si="57"/>
        <v>567069.8023</v>
      </c>
      <c r="O123" s="60">
        <f t="shared" si="57"/>
        <v>638202.706</v>
      </c>
      <c r="P123" s="60">
        <f t="shared" si="57"/>
        <v>668245.9089</v>
      </c>
    </row>
    <row r="124" ht="14.25" customHeight="1" outlineLevel="2">
      <c r="E124" s="11"/>
    </row>
    <row r="125" ht="14.25" customHeight="1" outlineLevel="2">
      <c r="E125" s="11"/>
    </row>
    <row r="126" ht="14.25" customHeight="1" outlineLevel="2">
      <c r="E126" s="11"/>
    </row>
    <row r="127" ht="14.25" customHeight="1">
      <c r="B127" s="47" t="s">
        <v>179</v>
      </c>
      <c r="E127" s="11"/>
    </row>
    <row r="128" ht="14.25" customHeight="1" outlineLevel="1">
      <c r="C128" s="36" t="s">
        <v>248</v>
      </c>
      <c r="E128" s="11"/>
    </row>
    <row r="129" ht="14.25" customHeight="1" outlineLevel="2">
      <c r="D129" s="9" t="str">
        <f>Inputs!D13</f>
        <v>Month in a period</v>
      </c>
      <c r="E129" s="11" t="str">
        <f>Inputs!E13</f>
        <v>month</v>
      </c>
      <c r="L129" s="49">
        <f>Inputs!L13</f>
        <v>12</v>
      </c>
      <c r="M129" s="49">
        <f>Inputs!M13</f>
        <v>12</v>
      </c>
      <c r="N129" s="49">
        <f>Inputs!N13</f>
        <v>12</v>
      </c>
      <c r="O129" s="49">
        <f>Inputs!O13</f>
        <v>12</v>
      </c>
      <c r="P129" s="49">
        <f>Inputs!P13</f>
        <v>12</v>
      </c>
    </row>
    <row r="130" ht="14.25" customHeight="1" outlineLevel="2">
      <c r="D130" s="9" t="str">
        <f>Inputs!D18</f>
        <v>Inflation factor</v>
      </c>
      <c r="E130" s="11" t="str">
        <f>Inputs!E18</f>
        <v>times</v>
      </c>
      <c r="L130" s="73">
        <f>Inputs!L18</f>
        <v>1</v>
      </c>
      <c r="M130" s="73">
        <f>Inputs!M18</f>
        <v>1.025</v>
      </c>
      <c r="N130" s="73">
        <f>Inputs!N18</f>
        <v>1.04960025</v>
      </c>
      <c r="O130" s="73">
        <f>Inputs!O18</f>
        <v>1.072798382</v>
      </c>
      <c r="P130" s="73">
        <f>Inputs!P18</f>
        <v>1.093083319</v>
      </c>
    </row>
    <row r="131" ht="14.25" customHeight="1" outlineLevel="2">
      <c r="E131" s="11"/>
    </row>
    <row r="132" ht="14.25" customHeight="1" outlineLevel="2">
      <c r="D132" s="34" t="str">
        <f>Inputs!D84</f>
        <v>Human Resources (staff)</v>
      </c>
      <c r="E132" s="11"/>
    </row>
    <row r="133" ht="14.25" customHeight="1" outlineLevel="2">
      <c r="D133" s="9" t="str">
        <f>Inputs!D85</f>
        <v>Manager</v>
      </c>
      <c r="E133" s="11" t="str">
        <f>Inputs!E85</f>
        <v>no.</v>
      </c>
      <c r="L133" s="77">
        <f>Inputs!L85</f>
        <v>1</v>
      </c>
      <c r="M133" s="77">
        <f>Inputs!M85</f>
        <v>1</v>
      </c>
      <c r="N133" s="77">
        <f>Inputs!N85</f>
        <v>1</v>
      </c>
      <c r="O133" s="77">
        <f>Inputs!O85</f>
        <v>1</v>
      </c>
      <c r="P133" s="77">
        <f>Inputs!P85</f>
        <v>1</v>
      </c>
    </row>
    <row r="134" ht="14.25" customHeight="1" outlineLevel="2">
      <c r="D134" s="9" t="str">
        <f>Inputs!D86</f>
        <v>Sales personnel/Stock keeper</v>
      </c>
      <c r="E134" s="11" t="str">
        <f>Inputs!E86</f>
        <v>no.</v>
      </c>
      <c r="L134" s="77">
        <f>Inputs!L86</f>
        <v>3</v>
      </c>
      <c r="M134" s="77">
        <f>Inputs!M86</f>
        <v>3</v>
      </c>
      <c r="N134" s="77">
        <f>Inputs!N86</f>
        <v>3</v>
      </c>
      <c r="O134" s="77">
        <f>Inputs!O86</f>
        <v>3</v>
      </c>
      <c r="P134" s="77">
        <f>Inputs!P86</f>
        <v>3</v>
      </c>
    </row>
    <row r="135" ht="14.25" customHeight="1" outlineLevel="2">
      <c r="D135" s="9" t="str">
        <f>Inputs!D87</f>
        <v>Accountant</v>
      </c>
      <c r="E135" s="11" t="str">
        <f>Inputs!E87</f>
        <v>no.</v>
      </c>
      <c r="L135" s="77">
        <f>Inputs!L87</f>
        <v>1</v>
      </c>
      <c r="M135" s="77">
        <f>Inputs!M87</f>
        <v>1</v>
      </c>
      <c r="N135" s="77">
        <f>Inputs!N87</f>
        <v>1</v>
      </c>
      <c r="O135" s="77">
        <f>Inputs!O87</f>
        <v>1</v>
      </c>
      <c r="P135" s="77">
        <f>Inputs!P87</f>
        <v>1</v>
      </c>
    </row>
    <row r="136" ht="14.25" customHeight="1" outlineLevel="2">
      <c r="D136" s="9" t="str">
        <f>Inputs!D88</f>
        <v>Security</v>
      </c>
      <c r="E136" s="11" t="str">
        <f>Inputs!E88</f>
        <v>no.</v>
      </c>
      <c r="L136" s="77">
        <f>Inputs!L88</f>
        <v>2</v>
      </c>
      <c r="M136" s="77">
        <f>Inputs!M88</f>
        <v>2</v>
      </c>
      <c r="N136" s="77">
        <f>Inputs!N88</f>
        <v>2</v>
      </c>
      <c r="O136" s="77">
        <f>Inputs!O88</f>
        <v>2</v>
      </c>
      <c r="P136" s="77">
        <f>Inputs!P88</f>
        <v>2</v>
      </c>
    </row>
    <row r="137" ht="14.25" customHeight="1" outlineLevel="2">
      <c r="D137" s="9" t="str">
        <f>Inputs!D89</f>
        <v>Other staff</v>
      </c>
      <c r="E137" s="11" t="str">
        <f>Inputs!E89</f>
        <v>no.</v>
      </c>
      <c r="L137" s="77">
        <f>Inputs!L89</f>
        <v>2</v>
      </c>
      <c r="M137" s="77">
        <f>Inputs!M89</f>
        <v>2</v>
      </c>
      <c r="N137" s="77">
        <f>Inputs!N89</f>
        <v>2</v>
      </c>
      <c r="O137" s="77">
        <f>Inputs!O89</f>
        <v>2</v>
      </c>
      <c r="P137" s="77">
        <f>Inputs!P89</f>
        <v>2</v>
      </c>
    </row>
    <row r="138" ht="14.25" customHeight="1" outlineLevel="2">
      <c r="E138" s="11"/>
    </row>
    <row r="139" ht="14.25" customHeight="1" outlineLevel="2">
      <c r="D139" s="34" t="str">
        <f>Inputs!D91</f>
        <v>Human Resources (Salary)</v>
      </c>
      <c r="E139" s="11"/>
    </row>
    <row r="140" ht="14.25" customHeight="1" outlineLevel="2">
      <c r="D140" s="9" t="str">
        <f>Inputs!D92</f>
        <v>Manager</v>
      </c>
      <c r="E140" s="11" t="str">
        <f>Inputs!E92</f>
        <v>$/month</v>
      </c>
      <c r="L140" s="69">
        <f>Inputs!L92</f>
        <v>5000</v>
      </c>
      <c r="M140" s="69">
        <f>Inputs!M92</f>
        <v>5000</v>
      </c>
      <c r="N140" s="69">
        <f>Inputs!N92</f>
        <v>5000</v>
      </c>
      <c r="O140" s="69">
        <f>Inputs!O92</f>
        <v>5050</v>
      </c>
      <c r="P140" s="69">
        <f>Inputs!P92</f>
        <v>5100</v>
      </c>
    </row>
    <row r="141" ht="14.25" customHeight="1" outlineLevel="2">
      <c r="D141" s="9" t="str">
        <f>Inputs!D93</f>
        <v>Sales personnel/Stock keeper</v>
      </c>
      <c r="E141" s="11" t="str">
        <f>Inputs!E93</f>
        <v>$/month</v>
      </c>
      <c r="L141" s="69">
        <f>Inputs!L93</f>
        <v>1500</v>
      </c>
      <c r="M141" s="69">
        <f>Inputs!M93</f>
        <v>1500</v>
      </c>
      <c r="N141" s="69">
        <f>Inputs!N93</f>
        <v>1500</v>
      </c>
      <c r="O141" s="69">
        <f>Inputs!O93</f>
        <v>1550</v>
      </c>
      <c r="P141" s="69">
        <f>Inputs!P93</f>
        <v>1600</v>
      </c>
    </row>
    <row r="142" ht="14.25" customHeight="1" outlineLevel="2">
      <c r="D142" s="9" t="str">
        <f>Inputs!D94</f>
        <v>Accountant</v>
      </c>
      <c r="E142" s="11" t="str">
        <f>Inputs!E94</f>
        <v>$/month</v>
      </c>
      <c r="L142" s="69">
        <f>Inputs!L94</f>
        <v>2000</v>
      </c>
      <c r="M142" s="69">
        <f>Inputs!M94</f>
        <v>2000</v>
      </c>
      <c r="N142" s="69">
        <f>Inputs!N94</f>
        <v>2000</v>
      </c>
      <c r="O142" s="69">
        <f>Inputs!O94</f>
        <v>2050</v>
      </c>
      <c r="P142" s="69">
        <f>Inputs!P94</f>
        <v>2100</v>
      </c>
    </row>
    <row r="143" ht="14.25" customHeight="1" outlineLevel="2">
      <c r="D143" s="9" t="str">
        <f>Inputs!D95</f>
        <v>Security</v>
      </c>
      <c r="E143" s="11" t="str">
        <f>Inputs!E95</f>
        <v>$/month</v>
      </c>
      <c r="L143" s="69">
        <f>Inputs!L95</f>
        <v>1000</v>
      </c>
      <c r="M143" s="69">
        <f>Inputs!M95</f>
        <v>1000</v>
      </c>
      <c r="N143" s="69">
        <f>Inputs!N95</f>
        <v>1000</v>
      </c>
      <c r="O143" s="69">
        <f>Inputs!O95</f>
        <v>1050</v>
      </c>
      <c r="P143" s="69">
        <f>Inputs!P95</f>
        <v>1100</v>
      </c>
    </row>
    <row r="144" ht="14.25" customHeight="1" outlineLevel="2">
      <c r="D144" s="9" t="str">
        <f>Inputs!D96</f>
        <v>Other staff</v>
      </c>
      <c r="E144" s="11" t="str">
        <f>Inputs!E96</f>
        <v>$/month</v>
      </c>
      <c r="L144" s="69">
        <f>Inputs!L96</f>
        <v>750</v>
      </c>
      <c r="M144" s="69">
        <f>Inputs!M96</f>
        <v>750</v>
      </c>
      <c r="N144" s="69">
        <f>Inputs!N96</f>
        <v>750</v>
      </c>
      <c r="O144" s="69">
        <f>Inputs!O96</f>
        <v>800</v>
      </c>
      <c r="P144" s="69">
        <f>Inputs!P96</f>
        <v>850</v>
      </c>
    </row>
    <row r="145" ht="14.25" customHeight="1" outlineLevel="2">
      <c r="E145" s="11"/>
    </row>
    <row r="146" ht="14.25" customHeight="1" outlineLevel="2">
      <c r="D146" s="34" t="str">
        <f t="shared" ref="D146:D151" si="58">D139</f>
        <v>Human Resources (Salary)</v>
      </c>
      <c r="E146" s="11"/>
    </row>
    <row r="147" ht="14.25" customHeight="1" outlineLevel="2">
      <c r="D147" s="9" t="str">
        <f t="shared" si="58"/>
        <v>Manager</v>
      </c>
      <c r="E147" s="11" t="str">
        <f t="shared" ref="E147:E151" si="60">E$144</f>
        <v>$/month</v>
      </c>
      <c r="L147" s="9">
        <f t="shared" ref="L147:P147" si="59">L140*L$130</f>
        <v>5000</v>
      </c>
      <c r="M147" s="9">
        <f t="shared" si="59"/>
        <v>5125</v>
      </c>
      <c r="N147" s="9">
        <f t="shared" si="59"/>
        <v>5248.00125</v>
      </c>
      <c r="O147" s="9">
        <f t="shared" si="59"/>
        <v>5417.631829</v>
      </c>
      <c r="P147" s="9">
        <f t="shared" si="59"/>
        <v>5574.724926</v>
      </c>
    </row>
    <row r="148" ht="14.25" customHeight="1" outlineLevel="2">
      <c r="D148" s="9" t="str">
        <f t="shared" si="58"/>
        <v>Sales personnel/Stock keeper</v>
      </c>
      <c r="E148" s="11" t="str">
        <f t="shared" si="60"/>
        <v>$/month</v>
      </c>
      <c r="L148" s="9">
        <f t="shared" ref="L148:P148" si="61">L141*L$130</f>
        <v>1500</v>
      </c>
      <c r="M148" s="9">
        <f t="shared" si="61"/>
        <v>1537.5</v>
      </c>
      <c r="N148" s="9">
        <f t="shared" si="61"/>
        <v>1574.400375</v>
      </c>
      <c r="O148" s="9">
        <f t="shared" si="61"/>
        <v>1662.837492</v>
      </c>
      <c r="P148" s="9">
        <f t="shared" si="61"/>
        <v>1748.93331</v>
      </c>
    </row>
    <row r="149" ht="14.25" customHeight="1" outlineLevel="2">
      <c r="D149" s="9" t="str">
        <f t="shared" si="58"/>
        <v>Accountant</v>
      </c>
      <c r="E149" s="11" t="str">
        <f t="shared" si="60"/>
        <v>$/month</v>
      </c>
      <c r="L149" s="9">
        <f t="shared" ref="L149:P149" si="62">L142*L$130</f>
        <v>2000</v>
      </c>
      <c r="M149" s="9">
        <f t="shared" si="62"/>
        <v>2050</v>
      </c>
      <c r="N149" s="9">
        <f t="shared" si="62"/>
        <v>2099.2005</v>
      </c>
      <c r="O149" s="9">
        <f t="shared" si="62"/>
        <v>2199.236683</v>
      </c>
      <c r="P149" s="9">
        <f t="shared" si="62"/>
        <v>2295.474969</v>
      </c>
    </row>
    <row r="150" ht="14.25" customHeight="1" outlineLevel="2">
      <c r="D150" s="9" t="str">
        <f t="shared" si="58"/>
        <v>Security</v>
      </c>
      <c r="E150" s="11" t="str">
        <f t="shared" si="60"/>
        <v>$/month</v>
      </c>
      <c r="L150" s="9">
        <f t="shared" ref="L150:P150" si="63">L143*L$130</f>
        <v>1000</v>
      </c>
      <c r="M150" s="9">
        <f t="shared" si="63"/>
        <v>1025</v>
      </c>
      <c r="N150" s="9">
        <f t="shared" si="63"/>
        <v>1049.60025</v>
      </c>
      <c r="O150" s="9">
        <f t="shared" si="63"/>
        <v>1126.438301</v>
      </c>
      <c r="P150" s="9">
        <f t="shared" si="63"/>
        <v>1202.391651</v>
      </c>
    </row>
    <row r="151" ht="14.25" customHeight="1" outlineLevel="2">
      <c r="D151" s="9" t="str">
        <f t="shared" si="58"/>
        <v>Other staff</v>
      </c>
      <c r="E151" s="11" t="str">
        <f t="shared" si="60"/>
        <v>$/month</v>
      </c>
      <c r="L151" s="9">
        <f t="shared" ref="L151:P151" si="64">L144*L$130</f>
        <v>750</v>
      </c>
      <c r="M151" s="9">
        <f t="shared" si="64"/>
        <v>768.75</v>
      </c>
      <c r="N151" s="9">
        <f t="shared" si="64"/>
        <v>787.2001875</v>
      </c>
      <c r="O151" s="9">
        <f t="shared" si="64"/>
        <v>858.2387056</v>
      </c>
      <c r="P151" s="9">
        <f t="shared" si="64"/>
        <v>929.120821</v>
      </c>
    </row>
    <row r="152" ht="14.25" customHeight="1" outlineLevel="2">
      <c r="E152" s="11"/>
    </row>
    <row r="153" ht="14.25" customHeight="1" outlineLevel="2">
      <c r="D153" s="34" t="s">
        <v>249</v>
      </c>
      <c r="E153" s="11"/>
      <c r="L153" s="78"/>
    </row>
    <row r="154" ht="14.25" customHeight="1" outlineLevel="2">
      <c r="D154" s="9" t="str">
        <f t="shared" ref="D154:D158" si="66">D140</f>
        <v>Manager</v>
      </c>
      <c r="E154" s="11" t="str">
        <f>Currency&amp;"/year"</f>
        <v>$/year</v>
      </c>
      <c r="L154" s="9">
        <f t="shared" ref="L154:P154" si="65">L147*L$129*L133</f>
        <v>60000</v>
      </c>
      <c r="M154" s="9">
        <f t="shared" si="65"/>
        <v>61500</v>
      </c>
      <c r="N154" s="9">
        <f t="shared" si="65"/>
        <v>62976.015</v>
      </c>
      <c r="O154" s="9">
        <f t="shared" si="65"/>
        <v>65011.58195</v>
      </c>
      <c r="P154" s="9">
        <f t="shared" si="65"/>
        <v>66896.69911</v>
      </c>
    </row>
    <row r="155" ht="14.25" customHeight="1" outlineLevel="2">
      <c r="D155" s="9" t="str">
        <f t="shared" si="66"/>
        <v>Sales personnel/Stock keeper</v>
      </c>
      <c r="E155" s="11" t="str">
        <f>Currency&amp;"/year"</f>
        <v>$/year</v>
      </c>
      <c r="L155" s="9">
        <f t="shared" ref="L155:P155" si="67">L148*L$129*L134</f>
        <v>54000</v>
      </c>
      <c r="M155" s="9">
        <f t="shared" si="67"/>
        <v>55350</v>
      </c>
      <c r="N155" s="9">
        <f t="shared" si="67"/>
        <v>56678.4135</v>
      </c>
      <c r="O155" s="9">
        <f t="shared" si="67"/>
        <v>59862.14972</v>
      </c>
      <c r="P155" s="9">
        <f t="shared" si="67"/>
        <v>62961.59916</v>
      </c>
    </row>
    <row r="156" ht="14.25" customHeight="1" outlineLevel="2">
      <c r="D156" s="9" t="str">
        <f t="shared" si="66"/>
        <v>Accountant</v>
      </c>
      <c r="E156" s="11" t="str">
        <f>Currency&amp;"/year"</f>
        <v>$/year</v>
      </c>
      <c r="L156" s="9">
        <f t="shared" ref="L156:P156" si="68">L149*L$129*L135</f>
        <v>24000</v>
      </c>
      <c r="M156" s="9">
        <f t="shared" si="68"/>
        <v>24600</v>
      </c>
      <c r="N156" s="9">
        <f t="shared" si="68"/>
        <v>25190.406</v>
      </c>
      <c r="O156" s="9">
        <f t="shared" si="68"/>
        <v>26390.8402</v>
      </c>
      <c r="P156" s="9">
        <f t="shared" si="68"/>
        <v>27545.69963</v>
      </c>
    </row>
    <row r="157" ht="14.25" customHeight="1" outlineLevel="2">
      <c r="D157" s="9" t="str">
        <f t="shared" si="66"/>
        <v>Security</v>
      </c>
      <c r="E157" s="11" t="str">
        <f>Currency&amp;"/year"</f>
        <v>$/year</v>
      </c>
      <c r="L157" s="9">
        <f t="shared" ref="L157:P157" si="69">L150*L$129*L136</f>
        <v>24000</v>
      </c>
      <c r="M157" s="9">
        <f t="shared" si="69"/>
        <v>24600</v>
      </c>
      <c r="N157" s="9">
        <f t="shared" si="69"/>
        <v>25190.406</v>
      </c>
      <c r="O157" s="9">
        <f t="shared" si="69"/>
        <v>27034.51923</v>
      </c>
      <c r="P157" s="9">
        <f t="shared" si="69"/>
        <v>28857.39962</v>
      </c>
    </row>
    <row r="158" ht="14.25" customHeight="1" outlineLevel="2">
      <c r="D158" s="9" t="str">
        <f t="shared" si="66"/>
        <v>Other staff</v>
      </c>
      <c r="E158" s="11" t="str">
        <f>Currency&amp;"/year"</f>
        <v>$/year</v>
      </c>
      <c r="L158" s="9">
        <f t="shared" ref="L158:P158" si="70">L151*L$129*L137</f>
        <v>18000</v>
      </c>
      <c r="M158" s="9">
        <f t="shared" si="70"/>
        <v>18450</v>
      </c>
      <c r="N158" s="9">
        <f t="shared" si="70"/>
        <v>18892.8045</v>
      </c>
      <c r="O158" s="9">
        <f t="shared" si="70"/>
        <v>20597.72894</v>
      </c>
      <c r="P158" s="9">
        <f t="shared" si="70"/>
        <v>22298.8997</v>
      </c>
    </row>
    <row r="159" ht="14.25" customHeight="1" outlineLevel="2">
      <c r="D159" s="58" t="s">
        <v>250</v>
      </c>
      <c r="E159" s="11" t="str">
        <f>Currency&amp;"/year"</f>
        <v>$/year</v>
      </c>
      <c r="L159" s="72">
        <f t="shared" ref="L159:P159" si="71">SUM(L154:L158)</f>
        <v>180000</v>
      </c>
      <c r="M159" s="72">
        <f t="shared" si="71"/>
        <v>184500</v>
      </c>
      <c r="N159" s="72">
        <f t="shared" si="71"/>
        <v>188928.045</v>
      </c>
      <c r="O159" s="72">
        <f t="shared" si="71"/>
        <v>198896.82</v>
      </c>
      <c r="P159" s="72">
        <f t="shared" si="71"/>
        <v>208560.2972</v>
      </c>
    </row>
    <row r="160" ht="14.25" customHeight="1" outlineLevel="2">
      <c r="E160" s="11"/>
      <c r="M160" s="79"/>
      <c r="N160" s="79"/>
      <c r="O160" s="79"/>
      <c r="P160" s="79"/>
    </row>
    <row r="161" ht="14.25" customHeight="1" outlineLevel="2">
      <c r="D161" s="34"/>
      <c r="E161" s="11"/>
    </row>
    <row r="162" ht="14.25" customHeight="1" outlineLevel="1">
      <c r="C162" s="36" t="s">
        <v>188</v>
      </c>
      <c r="E162" s="11"/>
    </row>
    <row r="163" ht="14.25" customHeight="1" outlineLevel="2">
      <c r="C163" s="36"/>
      <c r="D163" s="34" t="s">
        <v>251</v>
      </c>
      <c r="E163" s="11"/>
    </row>
    <row r="164" ht="14.25" customHeight="1" outlineLevel="2">
      <c r="D164" s="9" t="str">
        <f>Inputs!D99</f>
        <v>Rent</v>
      </c>
      <c r="E164" s="11" t="str">
        <f>Inputs!E99</f>
        <v>$/month</v>
      </c>
      <c r="L164" s="69">
        <f>Inputs!L99</f>
        <v>1250</v>
      </c>
      <c r="M164" s="69">
        <f>Inputs!M99</f>
        <v>1250</v>
      </c>
      <c r="N164" s="69">
        <f>Inputs!N99</f>
        <v>1250</v>
      </c>
      <c r="O164" s="69">
        <f>Inputs!O99</f>
        <v>1300</v>
      </c>
      <c r="P164" s="69">
        <f>Inputs!P99</f>
        <v>1300</v>
      </c>
    </row>
    <row r="165" ht="14.25" customHeight="1" outlineLevel="2">
      <c r="D165" s="9" t="str">
        <f>Inputs!D100</f>
        <v>Utilities</v>
      </c>
      <c r="E165" s="11" t="str">
        <f>Inputs!E100</f>
        <v>$/month</v>
      </c>
      <c r="L165" s="69">
        <f>Inputs!L100</f>
        <v>300</v>
      </c>
      <c r="M165" s="69">
        <f>Inputs!M100</f>
        <v>300</v>
      </c>
      <c r="N165" s="69">
        <f>Inputs!N100</f>
        <v>300</v>
      </c>
      <c r="O165" s="69">
        <f>Inputs!O100</f>
        <v>350</v>
      </c>
      <c r="P165" s="69">
        <f>Inputs!P100</f>
        <v>350</v>
      </c>
    </row>
    <row r="166" ht="14.25" customHeight="1" outlineLevel="2">
      <c r="D166" s="9" t="str">
        <f>Inputs!D101</f>
        <v>Maintenance</v>
      </c>
      <c r="E166" s="11" t="str">
        <f>Inputs!E101</f>
        <v>$/month</v>
      </c>
      <c r="L166" s="69">
        <f>Inputs!L101</f>
        <v>250</v>
      </c>
      <c r="M166" s="69">
        <f>Inputs!M101</f>
        <v>250</v>
      </c>
      <c r="N166" s="69">
        <f>Inputs!N101</f>
        <v>250</v>
      </c>
      <c r="O166" s="69">
        <f>Inputs!O101</f>
        <v>300</v>
      </c>
      <c r="P166" s="69">
        <f>Inputs!P101</f>
        <v>300</v>
      </c>
    </row>
    <row r="167" ht="14.25" customHeight="1" outlineLevel="2">
      <c r="D167" s="9" t="str">
        <f>Inputs!D102</f>
        <v>Internet &amp; Subscriptions</v>
      </c>
      <c r="E167" s="11" t="str">
        <f>Inputs!E102</f>
        <v>$/month</v>
      </c>
      <c r="L167" s="69">
        <f>Inputs!L102</f>
        <v>500</v>
      </c>
      <c r="M167" s="69">
        <f>Inputs!M102</f>
        <v>500</v>
      </c>
      <c r="N167" s="69">
        <f>Inputs!N102</f>
        <v>500</v>
      </c>
      <c r="O167" s="69">
        <f>Inputs!O102</f>
        <v>550</v>
      </c>
      <c r="P167" s="69">
        <f>Inputs!P102</f>
        <v>550</v>
      </c>
    </row>
    <row r="168" ht="14.25" customHeight="1" outlineLevel="2">
      <c r="D168" s="9" t="str">
        <f>Inputs!D103</f>
        <v>Marketing</v>
      </c>
      <c r="E168" s="11" t="str">
        <f>Inputs!E103</f>
        <v>$/month</v>
      </c>
      <c r="L168" s="69">
        <f>Inputs!L103</f>
        <v>1000</v>
      </c>
      <c r="M168" s="69">
        <f>Inputs!M103</f>
        <v>1000</v>
      </c>
      <c r="N168" s="69">
        <f>Inputs!N103</f>
        <v>1000</v>
      </c>
      <c r="O168" s="69">
        <f>Inputs!O103</f>
        <v>1050</v>
      </c>
      <c r="P168" s="69">
        <f>Inputs!P103</f>
        <v>1050</v>
      </c>
    </row>
    <row r="169" ht="14.25" customHeight="1" outlineLevel="2">
      <c r="D169" s="9" t="str">
        <f>Inputs!D104</f>
        <v>Insurance</v>
      </c>
      <c r="E169" s="11" t="str">
        <f>Inputs!E104</f>
        <v>$/month</v>
      </c>
      <c r="L169" s="69">
        <f>Inputs!L104</f>
        <v>420</v>
      </c>
      <c r="M169" s="69">
        <f>Inputs!M104</f>
        <v>420</v>
      </c>
      <c r="N169" s="69">
        <f>Inputs!N104</f>
        <v>420</v>
      </c>
      <c r="O169" s="69">
        <f>Inputs!O104</f>
        <v>470</v>
      </c>
      <c r="P169" s="69">
        <f>Inputs!P104</f>
        <v>470</v>
      </c>
    </row>
    <row r="170" ht="14.25" customHeight="1" outlineLevel="2">
      <c r="D170" s="9" t="str">
        <f>Inputs!D105</f>
        <v>Miscellaneous</v>
      </c>
      <c r="E170" s="11" t="str">
        <f>Inputs!E105</f>
        <v>$/month</v>
      </c>
      <c r="L170" s="69">
        <f>Inputs!L105</f>
        <v>400</v>
      </c>
      <c r="M170" s="69">
        <f>Inputs!M105</f>
        <v>400</v>
      </c>
      <c r="N170" s="69">
        <f>Inputs!N105</f>
        <v>400</v>
      </c>
      <c r="O170" s="69">
        <f>Inputs!O105</f>
        <v>450</v>
      </c>
      <c r="P170" s="69">
        <f>Inputs!P105</f>
        <v>450</v>
      </c>
    </row>
    <row r="171" ht="14.25" customHeight="1" outlineLevel="2">
      <c r="E171" s="11"/>
    </row>
    <row r="172" ht="14.25" customHeight="1" outlineLevel="2">
      <c r="D172" s="34" t="s">
        <v>252</v>
      </c>
      <c r="E172" s="11"/>
    </row>
    <row r="173" ht="14.25" customHeight="1" outlineLevel="2">
      <c r="D173" s="9" t="str">
        <f t="shared" ref="D173:D179" si="73">D164</f>
        <v>Rent</v>
      </c>
      <c r="E173" s="11" t="str">
        <f>Currency&amp;"/year"</f>
        <v>$/year</v>
      </c>
      <c r="L173" s="9">
        <f t="shared" ref="L173:P173" si="72">L164*L$130*L$129</f>
        <v>15000</v>
      </c>
      <c r="M173" s="9">
        <f t="shared" si="72"/>
        <v>15375</v>
      </c>
      <c r="N173" s="9">
        <f t="shared" si="72"/>
        <v>15744.00375</v>
      </c>
      <c r="O173" s="9">
        <f t="shared" si="72"/>
        <v>16735.65476</v>
      </c>
      <c r="P173" s="9">
        <f t="shared" si="72"/>
        <v>17052.09977</v>
      </c>
    </row>
    <row r="174" ht="14.25" customHeight="1" outlineLevel="2">
      <c r="D174" s="9" t="str">
        <f t="shared" si="73"/>
        <v>Utilities</v>
      </c>
      <c r="E174" s="11" t="str">
        <f>Currency&amp;"/year"</f>
        <v>$/year</v>
      </c>
      <c r="L174" s="9">
        <f t="shared" ref="L174:P174" si="74">L165*L$130*L$129</f>
        <v>3600</v>
      </c>
      <c r="M174" s="9">
        <f t="shared" si="74"/>
        <v>3690</v>
      </c>
      <c r="N174" s="9">
        <f t="shared" si="74"/>
        <v>3778.5609</v>
      </c>
      <c r="O174" s="9">
        <f t="shared" si="74"/>
        <v>4505.753205</v>
      </c>
      <c r="P174" s="9">
        <f t="shared" si="74"/>
        <v>4590.949939</v>
      </c>
    </row>
    <row r="175" ht="14.25" customHeight="1" outlineLevel="2">
      <c r="D175" s="9" t="str">
        <f t="shared" si="73"/>
        <v>Maintenance</v>
      </c>
      <c r="E175" s="11" t="str">
        <f>Currency&amp;"/year"</f>
        <v>$/year</v>
      </c>
      <c r="L175" s="9">
        <f t="shared" ref="L175:P175" si="75">L166*L$130*L$129</f>
        <v>3000</v>
      </c>
      <c r="M175" s="9">
        <f t="shared" si="75"/>
        <v>3075</v>
      </c>
      <c r="N175" s="9">
        <f t="shared" si="75"/>
        <v>3148.80075</v>
      </c>
      <c r="O175" s="9">
        <f t="shared" si="75"/>
        <v>3862.074175</v>
      </c>
      <c r="P175" s="9">
        <f t="shared" si="75"/>
        <v>3935.099948</v>
      </c>
    </row>
    <row r="176" ht="14.25" customHeight="1" outlineLevel="2">
      <c r="D176" s="9" t="str">
        <f t="shared" si="73"/>
        <v>Internet &amp; Subscriptions</v>
      </c>
      <c r="E176" s="11" t="str">
        <f>Currency&amp;"/year"</f>
        <v>$/year</v>
      </c>
      <c r="L176" s="9">
        <f t="shared" ref="L176:P176" si="76">L167*L$130*L$129</f>
        <v>6000</v>
      </c>
      <c r="M176" s="9">
        <f t="shared" si="76"/>
        <v>6150</v>
      </c>
      <c r="N176" s="9">
        <f t="shared" si="76"/>
        <v>6297.6015</v>
      </c>
      <c r="O176" s="9">
        <f t="shared" si="76"/>
        <v>7080.469322</v>
      </c>
      <c r="P176" s="9">
        <f t="shared" si="76"/>
        <v>7214.349904</v>
      </c>
    </row>
    <row r="177" ht="14.25" customHeight="1" outlineLevel="2">
      <c r="D177" s="9" t="str">
        <f t="shared" si="73"/>
        <v>Marketing</v>
      </c>
      <c r="E177" s="11" t="str">
        <f>Currency&amp;"/year"</f>
        <v>$/year</v>
      </c>
      <c r="L177" s="9">
        <f t="shared" ref="L177:P177" si="77">L168*L$130*L$129</f>
        <v>12000</v>
      </c>
      <c r="M177" s="9">
        <f t="shared" si="77"/>
        <v>12300</v>
      </c>
      <c r="N177" s="9">
        <f t="shared" si="77"/>
        <v>12595.203</v>
      </c>
      <c r="O177" s="9">
        <f t="shared" si="77"/>
        <v>13517.25961</v>
      </c>
      <c r="P177" s="9">
        <f t="shared" si="77"/>
        <v>13772.84982</v>
      </c>
    </row>
    <row r="178" ht="14.25" customHeight="1" outlineLevel="2">
      <c r="D178" s="9" t="str">
        <f t="shared" si="73"/>
        <v>Insurance</v>
      </c>
      <c r="E178" s="11" t="str">
        <f>Currency&amp;"/year"</f>
        <v>$/year</v>
      </c>
      <c r="L178" s="9">
        <f t="shared" ref="L178:P178" si="78">L169*L$130*L$129</f>
        <v>5040</v>
      </c>
      <c r="M178" s="9">
        <f t="shared" si="78"/>
        <v>5166</v>
      </c>
      <c r="N178" s="9">
        <f t="shared" si="78"/>
        <v>5289.98526</v>
      </c>
      <c r="O178" s="9">
        <f t="shared" si="78"/>
        <v>6050.582875</v>
      </c>
      <c r="P178" s="9">
        <f t="shared" si="78"/>
        <v>6164.989918</v>
      </c>
    </row>
    <row r="179" ht="14.25" customHeight="1" outlineLevel="2">
      <c r="D179" s="9" t="str">
        <f t="shared" si="73"/>
        <v>Miscellaneous</v>
      </c>
      <c r="E179" s="11" t="str">
        <f>Currency&amp;"/year"</f>
        <v>$/year</v>
      </c>
      <c r="L179" s="9">
        <f t="shared" ref="L179:P179" si="79">L170*L$130*L$129</f>
        <v>4800</v>
      </c>
      <c r="M179" s="9">
        <f t="shared" si="79"/>
        <v>4920</v>
      </c>
      <c r="N179" s="9">
        <f t="shared" si="79"/>
        <v>5038.0812</v>
      </c>
      <c r="O179" s="9">
        <f t="shared" si="79"/>
        <v>5793.111263</v>
      </c>
      <c r="P179" s="9">
        <f t="shared" si="79"/>
        <v>5902.649921</v>
      </c>
    </row>
    <row r="180" ht="14.25" customHeight="1" outlineLevel="2">
      <c r="D180" s="58" t="s">
        <v>253</v>
      </c>
      <c r="E180" s="11" t="str">
        <f>Currency&amp;"/year"</f>
        <v>$/year</v>
      </c>
      <c r="L180" s="72">
        <f t="shared" ref="L180:P180" si="80">SUM(L173:L179)</f>
        <v>49440</v>
      </c>
      <c r="M180" s="72">
        <f t="shared" si="80"/>
        <v>50676</v>
      </c>
      <c r="N180" s="72">
        <f t="shared" si="80"/>
        <v>51892.23636</v>
      </c>
      <c r="O180" s="72">
        <f t="shared" si="80"/>
        <v>57544.90521</v>
      </c>
      <c r="P180" s="72">
        <f t="shared" si="80"/>
        <v>58632.98922</v>
      </c>
    </row>
    <row r="181" ht="14.25" customHeight="1" outlineLevel="2">
      <c r="E181" s="11"/>
    </row>
    <row r="182" ht="14.25" customHeight="1" outlineLevel="2">
      <c r="D182" s="34" t="s">
        <v>254</v>
      </c>
      <c r="E182" s="11"/>
    </row>
    <row r="183" ht="14.25" customHeight="1" outlineLevel="2">
      <c r="D183" s="9" t="s">
        <v>228</v>
      </c>
      <c r="E183" s="11" t="str">
        <f>Currency&amp;"/year"</f>
        <v>$/year</v>
      </c>
      <c r="L183" s="38">
        <f t="shared" ref="L183:P183" si="81">L48</f>
        <v>48500</v>
      </c>
      <c r="M183" s="38">
        <f t="shared" si="81"/>
        <v>0</v>
      </c>
      <c r="N183" s="38">
        <f t="shared" si="81"/>
        <v>0</v>
      </c>
      <c r="O183" s="38">
        <f t="shared" si="81"/>
        <v>0</v>
      </c>
      <c r="P183" s="38">
        <f t="shared" si="81"/>
        <v>0</v>
      </c>
    </row>
    <row r="184" ht="14.25" customHeight="1" outlineLevel="2">
      <c r="D184" s="9" t="s">
        <v>255</v>
      </c>
      <c r="E184" s="11" t="str">
        <f>Currency&amp;"/year"</f>
        <v>$/year</v>
      </c>
      <c r="L184" s="38">
        <f t="shared" ref="L184:P184" si="82">L159</f>
        <v>180000</v>
      </c>
      <c r="M184" s="38">
        <f t="shared" si="82"/>
        <v>184500</v>
      </c>
      <c r="N184" s="38">
        <f t="shared" si="82"/>
        <v>188928.045</v>
      </c>
      <c r="O184" s="38">
        <f t="shared" si="82"/>
        <v>198896.82</v>
      </c>
      <c r="P184" s="38">
        <f t="shared" si="82"/>
        <v>208560.2972</v>
      </c>
    </row>
    <row r="185" ht="14.25" customHeight="1" outlineLevel="2">
      <c r="D185" s="9" t="s">
        <v>188</v>
      </c>
      <c r="E185" s="11" t="str">
        <f>Currency&amp;"/year"</f>
        <v>$/year</v>
      </c>
      <c r="L185" s="38">
        <f t="shared" ref="L185:P185" si="83">L180</f>
        <v>49440</v>
      </c>
      <c r="M185" s="38">
        <f t="shared" si="83"/>
        <v>50676</v>
      </c>
      <c r="N185" s="38">
        <f t="shared" si="83"/>
        <v>51892.23636</v>
      </c>
      <c r="O185" s="38">
        <f t="shared" si="83"/>
        <v>57544.90521</v>
      </c>
      <c r="P185" s="38">
        <f t="shared" si="83"/>
        <v>58632.98922</v>
      </c>
    </row>
    <row r="186" ht="14.25" customHeight="1" outlineLevel="2">
      <c r="D186" s="58" t="s">
        <v>256</v>
      </c>
      <c r="E186" s="11" t="str">
        <f>Currency&amp;"/year"</f>
        <v>$/year</v>
      </c>
      <c r="L186" s="72">
        <f t="shared" ref="L186:P186" si="84">SUM(L183:L185)</f>
        <v>277940</v>
      </c>
      <c r="M186" s="72">
        <f t="shared" si="84"/>
        <v>235176</v>
      </c>
      <c r="N186" s="72">
        <f t="shared" si="84"/>
        <v>240820.2814</v>
      </c>
      <c r="O186" s="72">
        <f t="shared" si="84"/>
        <v>256441.7252</v>
      </c>
      <c r="P186" s="72">
        <f t="shared" si="84"/>
        <v>267193.2864</v>
      </c>
    </row>
    <row r="187" ht="14.25" customHeight="1" outlineLevel="2"/>
    <row r="188" ht="14.25" customHeight="1" outlineLevel="2">
      <c r="D188" s="34" t="s">
        <v>257</v>
      </c>
    </row>
    <row r="189" ht="14.25" customHeight="1" outlineLevel="2">
      <c r="D189" s="38" t="str">
        <f>PL!D24</f>
        <v>EBT</v>
      </c>
      <c r="E189" s="11" t="str">
        <f>Currency&amp;"/year"</f>
        <v>$/year</v>
      </c>
      <c r="L189" s="9">
        <f>PL!L22*Div</f>
        <v>127070</v>
      </c>
      <c r="M189" s="9">
        <f>PL!M22*Div</f>
        <v>170762.045</v>
      </c>
      <c r="N189" s="9">
        <f>PL!N22*Div</f>
        <v>175060.3864</v>
      </c>
      <c r="O189" s="9">
        <f>PL!O22*Div</f>
        <v>188157.8609</v>
      </c>
      <c r="P189" s="9">
        <f>PL!P22*Div</f>
        <v>174698.1542</v>
      </c>
    </row>
    <row r="190" ht="14.25" customHeight="1" outlineLevel="2">
      <c r="D190" s="9" t="str">
        <f>Inputs!D27</f>
        <v>Provision for tax</v>
      </c>
      <c r="E190" s="11" t="str">
        <f>Inputs!E27</f>
        <v>%age</v>
      </c>
      <c r="L190" s="52">
        <f>Inputs!L27</f>
        <v>0.21</v>
      </c>
      <c r="M190" s="52">
        <f>Inputs!M27</f>
        <v>0.21</v>
      </c>
      <c r="N190" s="52">
        <f>Inputs!N27</f>
        <v>0.21</v>
      </c>
      <c r="O190" s="52">
        <f>Inputs!O27</f>
        <v>0.21</v>
      </c>
      <c r="P190" s="52">
        <f>Inputs!P27</f>
        <v>0.21</v>
      </c>
    </row>
    <row r="191" ht="14.25" customHeight="1" outlineLevel="2">
      <c r="D191" s="9" t="s">
        <v>257</v>
      </c>
      <c r="E191" s="11" t="str">
        <f>Currency&amp;"/year"</f>
        <v>$/year</v>
      </c>
      <c r="L191" s="9">
        <f t="shared" ref="L191:P191" si="85">(L189&gt;0)*(L189*L190)</f>
        <v>26684.7</v>
      </c>
      <c r="M191" s="9">
        <f t="shared" si="85"/>
        <v>35860.02945</v>
      </c>
      <c r="N191" s="9">
        <f t="shared" si="85"/>
        <v>36762.68114</v>
      </c>
      <c r="O191" s="9">
        <f t="shared" si="85"/>
        <v>39513.1508</v>
      </c>
      <c r="P191" s="9">
        <f t="shared" si="85"/>
        <v>36686.61239</v>
      </c>
    </row>
    <row r="192" ht="14.25" customHeight="1" outlineLevel="2"/>
    <row r="193" ht="14.25" customHeight="1" outlineLevel="2">
      <c r="E193" s="11"/>
    </row>
    <row r="194" ht="14.25" customHeight="1">
      <c r="B194" s="47" t="s">
        <v>258</v>
      </c>
      <c r="E194" s="11"/>
    </row>
    <row r="195" ht="14.25" customHeight="1" outlineLevel="1">
      <c r="C195" s="36" t="s">
        <v>259</v>
      </c>
      <c r="E195" s="11"/>
    </row>
    <row r="196" ht="14.25" customHeight="1" outlineLevel="2">
      <c r="D196" s="34" t="s">
        <v>212</v>
      </c>
      <c r="E196" s="11"/>
    </row>
    <row r="197" ht="14.25" customHeight="1" outlineLevel="2">
      <c r="D197" s="9" t="str">
        <f>Inputs!D12</f>
        <v>Days in a period</v>
      </c>
      <c r="E197" s="11" t="str">
        <f>Inputs!E12</f>
        <v>days</v>
      </c>
      <c r="L197" s="69">
        <f>Inputs!L12</f>
        <v>365</v>
      </c>
      <c r="M197" s="69">
        <f>Inputs!M12</f>
        <v>365</v>
      </c>
      <c r="N197" s="69">
        <f>Inputs!N12</f>
        <v>366</v>
      </c>
      <c r="O197" s="69">
        <f>Inputs!O12</f>
        <v>365</v>
      </c>
      <c r="P197" s="69">
        <f>Inputs!P12</f>
        <v>365</v>
      </c>
    </row>
    <row r="198" ht="14.25" customHeight="1" outlineLevel="2">
      <c r="D198" s="9" t="s">
        <v>195</v>
      </c>
      <c r="E198" s="11" t="str">
        <f>Currency</f>
        <v>$</v>
      </c>
      <c r="L198" s="69">
        <f t="shared" ref="L198:P198" si="86">L105</f>
        <v>901200</v>
      </c>
      <c r="M198" s="69">
        <f t="shared" si="86"/>
        <v>941754</v>
      </c>
      <c r="N198" s="69">
        <f t="shared" si="86"/>
        <v>993550.47</v>
      </c>
      <c r="O198" s="69">
        <f t="shared" si="86"/>
        <v>1093402.292</v>
      </c>
      <c r="P198" s="69">
        <f t="shared" si="86"/>
        <v>1120737.35</v>
      </c>
    </row>
    <row r="199" ht="14.25" customHeight="1" outlineLevel="2">
      <c r="D199" s="9" t="s">
        <v>260</v>
      </c>
      <c r="E199" s="11" t="str">
        <f>Currency</f>
        <v>$</v>
      </c>
      <c r="L199" s="69">
        <f t="shared" ref="L199:P199" si="87">L123</f>
        <v>490890</v>
      </c>
      <c r="M199" s="69">
        <f t="shared" si="87"/>
        <v>525215.955</v>
      </c>
      <c r="N199" s="69">
        <f t="shared" si="87"/>
        <v>567069.8023</v>
      </c>
      <c r="O199" s="69">
        <f t="shared" si="87"/>
        <v>638202.706</v>
      </c>
      <c r="P199" s="69">
        <f t="shared" si="87"/>
        <v>668245.9089</v>
      </c>
    </row>
    <row r="200" ht="14.25" customHeight="1" outlineLevel="2">
      <c r="D200" s="9" t="s">
        <v>256</v>
      </c>
      <c r="E200" s="11" t="str">
        <f>Currency</f>
        <v>$</v>
      </c>
      <c r="L200" s="69">
        <f t="shared" ref="L200:P200" si="88">L186</f>
        <v>277940</v>
      </c>
      <c r="M200" s="69">
        <f t="shared" si="88"/>
        <v>235176</v>
      </c>
      <c r="N200" s="69">
        <f t="shared" si="88"/>
        <v>240820.2814</v>
      </c>
      <c r="O200" s="69">
        <f t="shared" si="88"/>
        <v>256441.7252</v>
      </c>
      <c r="P200" s="69">
        <f t="shared" si="88"/>
        <v>267193.2864</v>
      </c>
    </row>
    <row r="201" ht="14.25" customHeight="1" outlineLevel="2">
      <c r="E201" s="11"/>
    </row>
    <row r="202" ht="14.25" customHeight="1" outlineLevel="2">
      <c r="D202" s="34" t="str">
        <f>Inputs!D73</f>
        <v>Assets</v>
      </c>
      <c r="E202" s="11"/>
    </row>
    <row r="203" ht="14.25" customHeight="1" outlineLevel="2">
      <c r="D203" s="9" t="str">
        <f>Inputs!D74</f>
        <v>Inventories</v>
      </c>
      <c r="E203" s="11" t="str">
        <f>Inputs!E74</f>
        <v>days</v>
      </c>
      <c r="L203" s="69">
        <f>Inputs!L74</f>
        <v>40</v>
      </c>
      <c r="M203" s="69">
        <f>Inputs!M74</f>
        <v>40</v>
      </c>
      <c r="N203" s="69">
        <f>Inputs!N74</f>
        <v>40</v>
      </c>
      <c r="O203" s="69">
        <f>Inputs!O74</f>
        <v>40</v>
      </c>
      <c r="P203" s="69">
        <f>Inputs!P74</f>
        <v>40</v>
      </c>
    </row>
    <row r="204" ht="14.25" customHeight="1" outlineLevel="2">
      <c r="D204" s="9" t="str">
        <f>Inputs!D75</f>
        <v>Trade receivables</v>
      </c>
      <c r="E204" s="11" t="str">
        <f>Inputs!E75</f>
        <v>days</v>
      </c>
      <c r="L204" s="69">
        <f>Inputs!L75</f>
        <v>25</v>
      </c>
      <c r="M204" s="69">
        <f>Inputs!M75</f>
        <v>25</v>
      </c>
      <c r="N204" s="69">
        <f>Inputs!N75</f>
        <v>25</v>
      </c>
      <c r="O204" s="69">
        <f>Inputs!O75</f>
        <v>25</v>
      </c>
      <c r="P204" s="69">
        <f>Inputs!P75</f>
        <v>25</v>
      </c>
    </row>
    <row r="205" ht="14.25" customHeight="1" outlineLevel="2">
      <c r="D205" s="9" t="str">
        <f>Inputs!D76</f>
        <v>Prepayment</v>
      </c>
      <c r="E205" s="11" t="str">
        <f>Inputs!E76</f>
        <v>days</v>
      </c>
      <c r="L205" s="69">
        <f>Inputs!L76</f>
        <v>30</v>
      </c>
      <c r="M205" s="69">
        <f>Inputs!M76</f>
        <v>30</v>
      </c>
      <c r="N205" s="69">
        <f>Inputs!N76</f>
        <v>30</v>
      </c>
      <c r="O205" s="69">
        <f>Inputs!O76</f>
        <v>30</v>
      </c>
      <c r="P205" s="69">
        <f>Inputs!P76</f>
        <v>30</v>
      </c>
    </row>
    <row r="206" ht="14.25" customHeight="1" outlineLevel="2">
      <c r="E206" s="11"/>
    </row>
    <row r="207" ht="14.25" customHeight="1" outlineLevel="2">
      <c r="D207" s="34" t="str">
        <f>Inputs!D78</f>
        <v>Liabilities</v>
      </c>
      <c r="E207" s="11"/>
    </row>
    <row r="208" ht="14.25" customHeight="1" outlineLevel="2">
      <c r="D208" s="9" t="str">
        <f>Inputs!D79</f>
        <v>Trade payables</v>
      </c>
      <c r="E208" s="11" t="str">
        <f>Inputs!E79</f>
        <v>days</v>
      </c>
      <c r="L208" s="69">
        <f>Inputs!L79</f>
        <v>30</v>
      </c>
      <c r="M208" s="69">
        <f>Inputs!M79</f>
        <v>30</v>
      </c>
      <c r="N208" s="69">
        <f>Inputs!N79</f>
        <v>30</v>
      </c>
      <c r="O208" s="69">
        <f>Inputs!O79</f>
        <v>30</v>
      </c>
      <c r="P208" s="69">
        <f>Inputs!P79</f>
        <v>30</v>
      </c>
    </row>
    <row r="209" ht="14.25" customHeight="1" outlineLevel="2">
      <c r="D209" s="9" t="str">
        <f>Inputs!D80</f>
        <v>Accrued expenses</v>
      </c>
      <c r="E209" s="11" t="str">
        <f>Inputs!E80</f>
        <v>days</v>
      </c>
      <c r="L209" s="69">
        <f>Inputs!L80</f>
        <v>25</v>
      </c>
      <c r="M209" s="69">
        <f>Inputs!M80</f>
        <v>25</v>
      </c>
      <c r="N209" s="69">
        <f>Inputs!N80</f>
        <v>25</v>
      </c>
      <c r="O209" s="69">
        <f>Inputs!O80</f>
        <v>25</v>
      </c>
      <c r="P209" s="69">
        <f>Inputs!P80</f>
        <v>25</v>
      </c>
    </row>
    <row r="210" ht="14.25" customHeight="1" outlineLevel="2">
      <c r="D210" s="9" t="str">
        <f>Inputs!D81</f>
        <v>Other liabilities</v>
      </c>
      <c r="E210" s="11" t="str">
        <f>Inputs!E81</f>
        <v>days</v>
      </c>
      <c r="L210" s="69">
        <f>Inputs!L81</f>
        <v>20</v>
      </c>
      <c r="M210" s="69">
        <f>Inputs!M81</f>
        <v>20</v>
      </c>
      <c r="N210" s="69">
        <f>Inputs!N81</f>
        <v>20</v>
      </c>
      <c r="O210" s="69">
        <f>Inputs!O81</f>
        <v>20</v>
      </c>
      <c r="P210" s="69">
        <f>Inputs!P81</f>
        <v>20</v>
      </c>
    </row>
    <row r="211" ht="14.25" customHeight="1" outlineLevel="2">
      <c r="E211" s="11"/>
    </row>
    <row r="212" ht="14.25" customHeight="1" outlineLevel="2">
      <c r="D212" s="34" t="s">
        <v>261</v>
      </c>
      <c r="E212" s="11"/>
    </row>
    <row r="213" ht="14.25" customHeight="1" outlineLevel="2">
      <c r="D213" s="58" t="s">
        <v>262</v>
      </c>
      <c r="E213" s="11"/>
    </row>
    <row r="214" ht="14.25" customHeight="1" outlineLevel="2">
      <c r="D214" s="9" t="str">
        <f t="shared" ref="D214:D216" si="90">D203</f>
        <v>Inventories</v>
      </c>
      <c r="E214" s="11" t="str">
        <f>Currency&amp;"/year"</f>
        <v>$/year</v>
      </c>
      <c r="L214" s="9">
        <f t="shared" ref="L214:P214" si="89">L203/L$197*L199</f>
        <v>53796.16438</v>
      </c>
      <c r="M214" s="9">
        <f t="shared" si="89"/>
        <v>57557.91288</v>
      </c>
      <c r="N214" s="9">
        <f t="shared" si="89"/>
        <v>61974.84178</v>
      </c>
      <c r="O214" s="9">
        <f t="shared" si="89"/>
        <v>69940.02258</v>
      </c>
      <c r="P214" s="9">
        <f t="shared" si="89"/>
        <v>73232.42837</v>
      </c>
    </row>
    <row r="215" ht="14.25" customHeight="1" outlineLevel="2">
      <c r="D215" s="9" t="str">
        <f t="shared" si="90"/>
        <v>Trade receivables</v>
      </c>
      <c r="E215" s="11" t="str">
        <f>Currency&amp;"/year"</f>
        <v>$/year</v>
      </c>
      <c r="L215" s="9">
        <f t="shared" ref="L215:P215" si="91">L204/L$197*L198</f>
        <v>61726.0274</v>
      </c>
      <c r="M215" s="9">
        <f t="shared" si="91"/>
        <v>64503.69863</v>
      </c>
      <c r="N215" s="9">
        <f t="shared" si="91"/>
        <v>67865.46926</v>
      </c>
      <c r="O215" s="9">
        <f t="shared" si="91"/>
        <v>74890.56796</v>
      </c>
      <c r="P215" s="9">
        <f t="shared" si="91"/>
        <v>76762.83216</v>
      </c>
    </row>
    <row r="216" ht="14.25" customHeight="1" outlineLevel="2">
      <c r="D216" s="9" t="str">
        <f t="shared" si="90"/>
        <v>Prepayment</v>
      </c>
      <c r="E216" s="11" t="str">
        <f>Currency&amp;"/year"</f>
        <v>$/year</v>
      </c>
      <c r="L216" s="9">
        <f t="shared" ref="L216:P216" si="92">L205/L$197*L200</f>
        <v>22844.38356</v>
      </c>
      <c r="M216" s="9">
        <f t="shared" si="92"/>
        <v>19329.53425</v>
      </c>
      <c r="N216" s="9">
        <f t="shared" si="92"/>
        <v>19739.36732</v>
      </c>
      <c r="O216" s="9">
        <f t="shared" si="92"/>
        <v>21077.40208</v>
      </c>
      <c r="P216" s="9">
        <f t="shared" si="92"/>
        <v>21961.09204</v>
      </c>
    </row>
    <row r="217" ht="14.25" customHeight="1" outlineLevel="2">
      <c r="D217" s="58" t="s">
        <v>263</v>
      </c>
      <c r="E217" s="11" t="str">
        <f>Currency&amp;"/year"</f>
        <v>$/year</v>
      </c>
      <c r="L217" s="80">
        <f t="shared" ref="L217:P217" si="93">SUM(L214:L216)</f>
        <v>138366.5753</v>
      </c>
      <c r="M217" s="80">
        <f t="shared" si="93"/>
        <v>141391.1458</v>
      </c>
      <c r="N217" s="80">
        <f t="shared" si="93"/>
        <v>149579.6784</v>
      </c>
      <c r="O217" s="80">
        <f t="shared" si="93"/>
        <v>165907.9926</v>
      </c>
      <c r="P217" s="80">
        <f t="shared" si="93"/>
        <v>171956.3526</v>
      </c>
    </row>
    <row r="218" ht="14.25" customHeight="1" outlineLevel="2">
      <c r="D218" s="58" t="s">
        <v>264</v>
      </c>
      <c r="E218" s="11"/>
    </row>
    <row r="219" ht="14.25" customHeight="1" outlineLevel="2">
      <c r="D219" s="9" t="str">
        <f t="shared" ref="D219:D221" si="95">D208</f>
        <v>Trade payables</v>
      </c>
      <c r="E219" s="11" t="str">
        <f>Currency&amp;"/year"</f>
        <v>$/year</v>
      </c>
      <c r="L219" s="9">
        <f t="shared" ref="L219:P219" si="94">L208/L$197*L199</f>
        <v>40347.12329</v>
      </c>
      <c r="M219" s="9">
        <f t="shared" si="94"/>
        <v>43168.43466</v>
      </c>
      <c r="N219" s="9">
        <f t="shared" si="94"/>
        <v>46481.13133</v>
      </c>
      <c r="O219" s="9">
        <f t="shared" si="94"/>
        <v>52455.01694</v>
      </c>
      <c r="P219" s="9">
        <f t="shared" si="94"/>
        <v>54924.32128</v>
      </c>
    </row>
    <row r="220" ht="14.25" customHeight="1" outlineLevel="2">
      <c r="D220" s="9" t="str">
        <f t="shared" si="95"/>
        <v>Accrued expenses</v>
      </c>
      <c r="E220" s="11" t="str">
        <f>Currency&amp;"/year"</f>
        <v>$/year</v>
      </c>
      <c r="L220" s="9">
        <f t="shared" ref="L220:P220" si="96">L209/L$197*L200</f>
        <v>19036.9863</v>
      </c>
      <c r="M220" s="9">
        <f t="shared" si="96"/>
        <v>16107.94521</v>
      </c>
      <c r="N220" s="9">
        <f t="shared" si="96"/>
        <v>16449.47277</v>
      </c>
      <c r="O220" s="9">
        <f t="shared" si="96"/>
        <v>17564.50173</v>
      </c>
      <c r="P220" s="9">
        <f t="shared" si="96"/>
        <v>18300.91003</v>
      </c>
    </row>
    <row r="221" ht="14.25" customHeight="1" outlineLevel="2">
      <c r="D221" s="9" t="str">
        <f t="shared" si="95"/>
        <v>Other liabilities</v>
      </c>
      <c r="E221" s="11" t="str">
        <f>Currency&amp;"/year"</f>
        <v>$/year</v>
      </c>
      <c r="L221" s="9">
        <f t="shared" ref="L221:P221" si="97">L210/L$197*L200</f>
        <v>15229.58904</v>
      </c>
      <c r="M221" s="9">
        <f t="shared" si="97"/>
        <v>12886.35616</v>
      </c>
      <c r="N221" s="9">
        <f t="shared" si="97"/>
        <v>13159.57822</v>
      </c>
      <c r="O221" s="9">
        <f t="shared" si="97"/>
        <v>14051.60138</v>
      </c>
      <c r="P221" s="9">
        <f t="shared" si="97"/>
        <v>14640.72802</v>
      </c>
    </row>
    <row r="222" ht="14.25" customHeight="1" outlineLevel="2">
      <c r="D222" s="58" t="s">
        <v>265</v>
      </c>
      <c r="E222" s="11" t="str">
        <f>Currency&amp;"/year"</f>
        <v>$/year</v>
      </c>
      <c r="L222" s="80">
        <f t="shared" ref="L222:P222" si="98">SUM(L219:L221)</f>
        <v>74613.69863</v>
      </c>
      <c r="M222" s="80">
        <f t="shared" si="98"/>
        <v>72162.73603</v>
      </c>
      <c r="N222" s="80">
        <f t="shared" si="98"/>
        <v>76090.18232</v>
      </c>
      <c r="O222" s="80">
        <f t="shared" si="98"/>
        <v>84071.12005</v>
      </c>
      <c r="P222" s="80">
        <f t="shared" si="98"/>
        <v>87865.95933</v>
      </c>
    </row>
    <row r="223" ht="14.25" customHeight="1" outlineLevel="2">
      <c r="D223" s="9" t="s">
        <v>259</v>
      </c>
      <c r="E223" s="11" t="str">
        <f>Currency&amp;"/year"</f>
        <v>$/year</v>
      </c>
      <c r="L223" s="81">
        <f t="shared" ref="L223:P223" si="99">L217-L222</f>
        <v>63752.87671</v>
      </c>
      <c r="M223" s="81">
        <f t="shared" si="99"/>
        <v>69228.40973</v>
      </c>
      <c r="N223" s="81">
        <f t="shared" si="99"/>
        <v>73489.49604</v>
      </c>
      <c r="O223" s="81">
        <f t="shared" si="99"/>
        <v>81836.87257</v>
      </c>
      <c r="P223" s="81">
        <f t="shared" si="99"/>
        <v>84090.39323</v>
      </c>
    </row>
    <row r="224" ht="14.25" customHeight="1" outlineLevel="2">
      <c r="D224" s="9" t="s">
        <v>266</v>
      </c>
      <c r="E224" s="11" t="str">
        <f>Currency&amp;"/year"</f>
        <v>$/year</v>
      </c>
      <c r="L224" s="38">
        <f t="shared" ref="L224:P224" si="100">K223-L223</f>
        <v>-63752.87671</v>
      </c>
      <c r="M224" s="38">
        <f t="shared" si="100"/>
        <v>-5475.533014</v>
      </c>
      <c r="N224" s="38">
        <f t="shared" si="100"/>
        <v>-4261.086318</v>
      </c>
      <c r="O224" s="38">
        <f t="shared" si="100"/>
        <v>-8347.376525</v>
      </c>
      <c r="P224" s="38">
        <f t="shared" si="100"/>
        <v>-2253.520665</v>
      </c>
    </row>
    <row r="225" ht="14.25" customHeight="1" outlineLevel="2">
      <c r="E225" s="11"/>
    </row>
    <row r="226" ht="14.25" customHeight="1" outlineLevel="2">
      <c r="E226" s="11"/>
    </row>
    <row r="227" ht="14.25" customHeight="1" outlineLevel="1">
      <c r="E227" s="11"/>
    </row>
    <row r="228" ht="14.25" customHeight="1" outlineLevel="1">
      <c r="E228" s="11"/>
    </row>
    <row r="229" ht="14.25" customHeight="1" outlineLevel="1">
      <c r="E229" s="11"/>
    </row>
    <row r="230" ht="14.25" customHeight="1" outlineLevel="1">
      <c r="E230" s="11"/>
    </row>
    <row r="231" ht="14.25" customHeight="1" outlineLevel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3" width="2.5"/>
    <col customWidth="1" min="4" max="4" width="22.88"/>
    <col customWidth="1" min="5" max="5" width="3.75"/>
    <col customWidth="1" min="6" max="6" width="10.75"/>
    <col customWidth="1" min="7" max="7" width="8.63"/>
    <col customWidth="1" min="8" max="8" width="9.5"/>
    <col customWidth="1" min="9" max="10" width="1.38"/>
    <col customWidth="1" min="11" max="11" width="7.25"/>
    <col customWidth="1" min="12" max="26" width="8.63"/>
  </cols>
  <sheetData>
    <row r="1" ht="14.25" customHeight="1"/>
    <row r="2" ht="14.25" customHeight="1">
      <c r="B2" s="35" t="str">
        <f>Guide!$F$33</f>
        <v>TOWV Bootcamp Limited</v>
      </c>
    </row>
    <row r="3" ht="14.25" customHeight="1">
      <c r="B3" s="36" t="s">
        <v>36</v>
      </c>
    </row>
    <row r="4" ht="14.25" customHeight="1">
      <c r="G4" s="11" t="s">
        <v>104</v>
      </c>
      <c r="K4" s="42"/>
      <c r="L4" s="43">
        <f t="shared" ref="L4:P4" si="1">K5+1</f>
        <v>44562</v>
      </c>
      <c r="M4" s="43">
        <f t="shared" si="1"/>
        <v>44927</v>
      </c>
      <c r="N4" s="43">
        <f t="shared" si="1"/>
        <v>45292</v>
      </c>
      <c r="O4" s="43">
        <f t="shared" si="1"/>
        <v>45658</v>
      </c>
      <c r="P4" s="43">
        <f t="shared" si="1"/>
        <v>46023</v>
      </c>
    </row>
    <row r="5" ht="14.25" customHeight="1">
      <c r="C5" s="44" t="str">
        <f>Scenario</f>
        <v>Live Scenario: Base Case</v>
      </c>
      <c r="G5" s="11" t="s">
        <v>105</v>
      </c>
      <c r="K5" s="82">
        <f>Guide!F39-1</f>
        <v>44561</v>
      </c>
      <c r="L5" s="43">
        <f>EDATE(K5,Guide!$F$41)</f>
        <v>44926</v>
      </c>
      <c r="M5" s="43">
        <f>EDATE(L5,Guide!$F$41)</f>
        <v>45291</v>
      </c>
      <c r="N5" s="43">
        <f>EDATE(M5,Guide!$F$41)</f>
        <v>45657</v>
      </c>
      <c r="O5" s="43">
        <f>EDATE(N5,Guide!$F$41)</f>
        <v>46022</v>
      </c>
      <c r="P5" s="43">
        <f>EDATE(O5,Guide!$F$41)</f>
        <v>46387</v>
      </c>
    </row>
    <row r="6" ht="14.25" customHeight="1">
      <c r="C6" s="44" t="s">
        <v>106</v>
      </c>
      <c r="G6" s="11" t="s">
        <v>107</v>
      </c>
      <c r="K6" s="42"/>
      <c r="L6" s="45">
        <f t="shared" ref="L6:P6" si="2">YEAR(L4)</f>
        <v>2022</v>
      </c>
      <c r="M6" s="45">
        <f t="shared" si="2"/>
        <v>2023</v>
      </c>
      <c r="N6" s="45">
        <f t="shared" si="2"/>
        <v>2024</v>
      </c>
      <c r="O6" s="45">
        <f t="shared" si="2"/>
        <v>2025</v>
      </c>
      <c r="P6" s="45">
        <f t="shared" si="2"/>
        <v>2026</v>
      </c>
    </row>
    <row r="7" ht="14.25" customHeight="1">
      <c r="D7" s="11" t="s">
        <v>108</v>
      </c>
      <c r="E7" s="11" t="s">
        <v>109</v>
      </c>
      <c r="F7" s="46" t="s">
        <v>110</v>
      </c>
      <c r="G7" s="11" t="s">
        <v>111</v>
      </c>
      <c r="H7" s="11" t="s">
        <v>267</v>
      </c>
    </row>
    <row r="8" ht="14.25" customHeight="1"/>
    <row r="9" ht="14.25" customHeight="1">
      <c r="C9" s="36" t="s">
        <v>268</v>
      </c>
    </row>
    <row r="10" ht="19.5" customHeight="1">
      <c r="D10" s="9" t="s">
        <v>195</v>
      </c>
      <c r="E10" s="11" t="str">
        <f>Currency&amp;"'000"</f>
        <v>$'000</v>
      </c>
      <c r="G10" s="83">
        <f t="shared" ref="G10:G27" si="3">AVERAGE(L10:P10)</f>
        <v>1010.128822</v>
      </c>
      <c r="H10" s="9"/>
      <c r="L10" s="84">
        <f>Calc!L105/Div</f>
        <v>901.2</v>
      </c>
      <c r="M10" s="84">
        <f>Calc!M105/Div</f>
        <v>941.754</v>
      </c>
      <c r="N10" s="84">
        <f>Calc!N105/Div</f>
        <v>993.55047</v>
      </c>
      <c r="O10" s="84">
        <f>Calc!O105/Div</f>
        <v>1093.402292</v>
      </c>
      <c r="P10" s="84">
        <f>Calc!P105/Div</f>
        <v>1120.73735</v>
      </c>
    </row>
    <row r="11" ht="14.25" customHeight="1">
      <c r="A11" s="85"/>
      <c r="B11" s="85"/>
      <c r="C11" s="85"/>
      <c r="D11" s="85" t="s">
        <v>269</v>
      </c>
      <c r="E11" s="85" t="s">
        <v>122</v>
      </c>
      <c r="F11" s="85"/>
      <c r="G11" s="86">
        <f t="shared" si="3"/>
        <v>0.0451</v>
      </c>
      <c r="H11" s="85"/>
      <c r="I11" s="85"/>
      <c r="J11" s="85"/>
      <c r="K11" s="85"/>
      <c r="L11" s="87">
        <f t="shared" ref="L11:P11" si="4">IFERROR(L10/K10-1,0)</f>
        <v>0</v>
      </c>
      <c r="M11" s="87">
        <f t="shared" si="4"/>
        <v>0.045</v>
      </c>
      <c r="N11" s="87">
        <f t="shared" si="4"/>
        <v>0.055</v>
      </c>
      <c r="O11" s="87">
        <f t="shared" si="4"/>
        <v>0.1005</v>
      </c>
      <c r="P11" s="87">
        <f t="shared" si="4"/>
        <v>0.025</v>
      </c>
      <c r="Q11" s="85"/>
      <c r="R11" s="85"/>
      <c r="V11" s="85"/>
      <c r="W11" s="85"/>
      <c r="X11" s="85"/>
      <c r="Y11" s="85"/>
      <c r="Z11" s="85"/>
    </row>
    <row r="12" ht="14.25" customHeight="1">
      <c r="D12" s="9" t="s">
        <v>270</v>
      </c>
      <c r="E12" s="11" t="str">
        <f>Currency&amp;"'000"</f>
        <v>$'000</v>
      </c>
      <c r="G12" s="83">
        <f t="shared" si="3"/>
        <v>577.9248744</v>
      </c>
      <c r="H12" s="9"/>
      <c r="L12" s="9">
        <f>Calc!L123/Div</f>
        <v>490.89</v>
      </c>
      <c r="M12" s="9">
        <f>Calc!M123/Div</f>
        <v>525.215955</v>
      </c>
      <c r="N12" s="9">
        <f>Calc!N123/Div</f>
        <v>567.0698023</v>
      </c>
      <c r="O12" s="9">
        <f>Calc!O123/Div</f>
        <v>638.202706</v>
      </c>
      <c r="P12" s="9">
        <f>Calc!P123/Div</f>
        <v>668.2459089</v>
      </c>
      <c r="R12" s="78"/>
      <c r="S12" s="78"/>
      <c r="T12" s="78"/>
      <c r="U12" s="78"/>
      <c r="V12" s="78"/>
    </row>
    <row r="13" ht="14.25" customHeight="1">
      <c r="D13" s="85" t="s">
        <v>271</v>
      </c>
      <c r="E13" s="85" t="s">
        <v>122</v>
      </c>
      <c r="G13" s="86">
        <f t="shared" si="3"/>
        <v>0.0644257825</v>
      </c>
      <c r="L13" s="87">
        <f t="shared" ref="L13:P13" si="5">IFERROR(L12/K12-1,0)</f>
        <v>0</v>
      </c>
      <c r="M13" s="87">
        <f t="shared" si="5"/>
        <v>0.06992596101</v>
      </c>
      <c r="N13" s="87">
        <f t="shared" si="5"/>
        <v>0.07968883439</v>
      </c>
      <c r="O13" s="87">
        <f t="shared" si="5"/>
        <v>0.1254394142</v>
      </c>
      <c r="P13" s="87">
        <f t="shared" si="5"/>
        <v>0.04707470294</v>
      </c>
    </row>
    <row r="14" ht="14.25" customHeight="1">
      <c r="D14" s="58" t="s">
        <v>272</v>
      </c>
      <c r="E14" s="11" t="str">
        <f>Currency&amp;"'000"</f>
        <v>$'000</v>
      </c>
      <c r="G14" s="83">
        <f t="shared" si="3"/>
        <v>432.2039479</v>
      </c>
      <c r="H14" s="9"/>
      <c r="L14" s="72">
        <f t="shared" ref="L14:P14" si="6">L10-L12</f>
        <v>410.31</v>
      </c>
      <c r="M14" s="72">
        <f t="shared" si="6"/>
        <v>416.538045</v>
      </c>
      <c r="N14" s="72">
        <f t="shared" si="6"/>
        <v>426.4806677</v>
      </c>
      <c r="O14" s="72">
        <f t="shared" si="6"/>
        <v>455.1995862</v>
      </c>
      <c r="P14" s="72">
        <f t="shared" si="6"/>
        <v>452.4914407</v>
      </c>
    </row>
    <row r="15" ht="14.25" customHeight="1">
      <c r="A15" s="85"/>
      <c r="B15" s="85"/>
      <c r="C15" s="85"/>
      <c r="D15" s="85" t="s">
        <v>273</v>
      </c>
      <c r="E15" s="85" t="s">
        <v>122</v>
      </c>
      <c r="F15" s="85"/>
      <c r="G15" s="86">
        <f t="shared" si="3"/>
        <v>0.4293803139</v>
      </c>
      <c r="H15" s="85"/>
      <c r="I15" s="85"/>
      <c r="J15" s="85"/>
      <c r="K15" s="85"/>
      <c r="L15" s="87">
        <f t="shared" ref="L15:P15" si="7">L14/L10</f>
        <v>0.4552929427</v>
      </c>
      <c r="M15" s="87">
        <f t="shared" si="7"/>
        <v>0.4423002663</v>
      </c>
      <c r="N15" s="87">
        <f t="shared" si="7"/>
        <v>0.4292491228</v>
      </c>
      <c r="O15" s="87">
        <f t="shared" si="7"/>
        <v>0.416314827</v>
      </c>
      <c r="P15" s="87">
        <f t="shared" si="7"/>
        <v>0.4037444107</v>
      </c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4.25" customHeight="1">
      <c r="D16" s="9" t="s">
        <v>256</v>
      </c>
      <c r="E16" s="11" t="str">
        <f>Currency&amp;"'000"</f>
        <v>$'000</v>
      </c>
      <c r="G16" s="83">
        <f t="shared" si="3"/>
        <v>255.5142586</v>
      </c>
      <c r="H16" s="9"/>
      <c r="L16" s="9">
        <f>Calc!L186/Div</f>
        <v>277.94</v>
      </c>
      <c r="M16" s="9">
        <f>Calc!M186/Div</f>
        <v>235.176</v>
      </c>
      <c r="N16" s="9">
        <f>Calc!N186/Div</f>
        <v>240.8202814</v>
      </c>
      <c r="O16" s="9">
        <f>Calc!O186/Div</f>
        <v>256.4417252</v>
      </c>
      <c r="P16" s="9">
        <f>Calc!P186/Div</f>
        <v>267.1932864</v>
      </c>
    </row>
    <row r="17" ht="14.25" customHeight="1">
      <c r="A17" s="85"/>
      <c r="B17" s="85"/>
      <c r="C17" s="85"/>
      <c r="D17" s="85" t="s">
        <v>274</v>
      </c>
      <c r="E17" s="85" t="s">
        <v>122</v>
      </c>
      <c r="F17" s="85"/>
      <c r="G17" s="86">
        <f t="shared" si="3"/>
        <v>0.2546919716</v>
      </c>
      <c r="H17" s="85"/>
      <c r="I17" s="85"/>
      <c r="J17" s="85"/>
      <c r="K17" s="85"/>
      <c r="L17" s="87">
        <f t="shared" ref="L17:P17" si="8">L16/L10</f>
        <v>0.3084110075</v>
      </c>
      <c r="M17" s="87">
        <f t="shared" si="8"/>
        <v>0.2497212648</v>
      </c>
      <c r="N17" s="87">
        <f t="shared" si="8"/>
        <v>0.2423835413</v>
      </c>
      <c r="O17" s="87">
        <f t="shared" si="8"/>
        <v>0.2345355658</v>
      </c>
      <c r="P17" s="87">
        <f t="shared" si="8"/>
        <v>0.2384084786</v>
      </c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4.25" customHeight="1">
      <c r="D18" s="58" t="s">
        <v>275</v>
      </c>
      <c r="E18" s="11" t="str">
        <f>Currency&amp;"'000"</f>
        <v>$'000</v>
      </c>
      <c r="G18" s="83">
        <f t="shared" si="3"/>
        <v>176.6896893</v>
      </c>
      <c r="H18" s="9"/>
      <c r="L18" s="72">
        <f t="shared" ref="L18:P18" si="9">L14-L16</f>
        <v>132.37</v>
      </c>
      <c r="M18" s="72">
        <f t="shared" si="9"/>
        <v>181.362045</v>
      </c>
      <c r="N18" s="72">
        <f t="shared" si="9"/>
        <v>185.6603864</v>
      </c>
      <c r="O18" s="72">
        <f t="shared" si="9"/>
        <v>198.7578609</v>
      </c>
      <c r="P18" s="72">
        <f t="shared" si="9"/>
        <v>185.2981542</v>
      </c>
    </row>
    <row r="19" ht="14.25" customHeight="1">
      <c r="A19" s="85"/>
      <c r="B19" s="85"/>
      <c r="C19" s="85"/>
      <c r="D19" s="85" t="s">
        <v>276</v>
      </c>
      <c r="E19" s="85" t="s">
        <v>122</v>
      </c>
      <c r="F19" s="85"/>
      <c r="G19" s="86">
        <f t="shared" si="3"/>
        <v>0.1746883423</v>
      </c>
      <c r="H19" s="85"/>
      <c r="I19" s="85"/>
      <c r="J19" s="85"/>
      <c r="K19" s="85"/>
      <c r="L19" s="87">
        <f t="shared" ref="L19:P19" si="10">L18/L10</f>
        <v>0.1468819352</v>
      </c>
      <c r="M19" s="87">
        <f t="shared" si="10"/>
        <v>0.1925790015</v>
      </c>
      <c r="N19" s="87">
        <f t="shared" si="10"/>
        <v>0.1868655816</v>
      </c>
      <c r="O19" s="87">
        <f t="shared" si="10"/>
        <v>0.1817792613</v>
      </c>
      <c r="P19" s="87">
        <f t="shared" si="10"/>
        <v>0.165335932</v>
      </c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4.25" customHeight="1">
      <c r="D20" s="9" t="s">
        <v>277</v>
      </c>
      <c r="E20" s="11" t="str">
        <f>Currency&amp;"'000"</f>
        <v>$'000</v>
      </c>
      <c r="G20" s="83">
        <f t="shared" si="3"/>
        <v>9.54</v>
      </c>
      <c r="L20" s="9">
        <f>Calc!L63/Div</f>
        <v>5.3</v>
      </c>
      <c r="M20" s="9">
        <f>Calc!M63/Div</f>
        <v>10.6</v>
      </c>
      <c r="N20" s="9">
        <f>Calc!N63/Div</f>
        <v>10.6</v>
      </c>
      <c r="O20" s="9">
        <f>Calc!O63/Div</f>
        <v>10.6</v>
      </c>
      <c r="P20" s="9">
        <f>Calc!P63/Div</f>
        <v>10.6</v>
      </c>
    </row>
    <row r="21" ht="14.25" customHeight="1">
      <c r="A21" s="85"/>
      <c r="B21" s="85"/>
      <c r="C21" s="85"/>
      <c r="D21" s="85" t="s">
        <v>278</v>
      </c>
      <c r="E21" s="85" t="s">
        <v>279</v>
      </c>
      <c r="F21" s="85"/>
      <c r="G21" s="86">
        <f t="shared" si="3"/>
        <v>0.00939160382</v>
      </c>
      <c r="H21" s="85"/>
      <c r="I21" s="85"/>
      <c r="J21" s="85"/>
      <c r="K21" s="85"/>
      <c r="L21" s="88">
        <f t="shared" ref="L21:P21" si="11">L20/L10</f>
        <v>0.005881047492</v>
      </c>
      <c r="M21" s="88">
        <f t="shared" si="11"/>
        <v>0.01125559329</v>
      </c>
      <c r="N21" s="88">
        <f t="shared" si="11"/>
        <v>0.0106688088</v>
      </c>
      <c r="O21" s="88">
        <f t="shared" si="11"/>
        <v>0.009694510497</v>
      </c>
      <c r="P21" s="88">
        <f t="shared" si="11"/>
        <v>0.009458059022</v>
      </c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4.25" customHeight="1">
      <c r="D22" s="58" t="s">
        <v>280</v>
      </c>
      <c r="E22" s="11" t="str">
        <f>Currency&amp;"'000"</f>
        <v>$'000</v>
      </c>
      <c r="G22" s="83">
        <f t="shared" si="3"/>
        <v>167.1496893</v>
      </c>
      <c r="H22" s="9" t="str">
        <f>IFERROR(__xludf.DUMMYFUNCTION("ARRAY_CONSTRAIN(ARRAYFORMULA(SPARKLINE(PL!L22:P22, {""charttype"",""line"";""color"",""#376092"";""empty"",""ignore"";""nan"",""convert""})), 1, 1)"),"")</f>
        <v/>
      </c>
      <c r="L22" s="72">
        <f t="shared" ref="L22:P22" si="12">L18-L20</f>
        <v>127.07</v>
      </c>
      <c r="M22" s="72">
        <f t="shared" si="12"/>
        <v>170.762045</v>
      </c>
      <c r="N22" s="72">
        <f t="shared" si="12"/>
        <v>175.0603864</v>
      </c>
      <c r="O22" s="72">
        <f t="shared" si="12"/>
        <v>188.1578609</v>
      </c>
      <c r="P22" s="72">
        <f t="shared" si="12"/>
        <v>174.6981542</v>
      </c>
    </row>
    <row r="23" ht="14.25" customHeight="1">
      <c r="D23" s="9" t="s">
        <v>219</v>
      </c>
      <c r="E23" s="11" t="str">
        <f>Currency&amp;"'000"</f>
        <v>$'000</v>
      </c>
      <c r="G23" s="83">
        <f t="shared" si="3"/>
        <v>3.703616205</v>
      </c>
      <c r="L23" s="9">
        <f>Calc!L25/Div</f>
        <v>7.16</v>
      </c>
      <c r="M23" s="9">
        <f>Calc!M25/Div</f>
        <v>5.55118235</v>
      </c>
      <c r="N23" s="9">
        <f>Calc!N25/Div</f>
        <v>3.827173356</v>
      </c>
      <c r="O23" s="9">
        <f>Calc!O25/Div</f>
        <v>1.979725318</v>
      </c>
      <c r="P23" s="9">
        <f>Calc!P25/Div</f>
        <v>0</v>
      </c>
    </row>
    <row r="24" ht="14.25" customHeight="1">
      <c r="D24" s="58" t="s">
        <v>281</v>
      </c>
      <c r="E24" s="11" t="str">
        <f>Currency&amp;"'000"</f>
        <v>$'000</v>
      </c>
      <c r="G24" s="83">
        <f t="shared" si="3"/>
        <v>163.4460731</v>
      </c>
      <c r="H24" s="9" t="str">
        <f>IFERROR(__xludf.DUMMYFUNCTION("ARRAY_CONSTRAIN(ARRAYFORMULA(SPARKLINE(PL!L24:P24, {""charttype"",""line"";""color"",""#376092"";""empty"",""ignore"";""nan"",""convert""})), 1, 1)"),"")</f>
        <v/>
      </c>
      <c r="L24" s="72">
        <f t="shared" ref="L24:P24" si="13">L22-L23</f>
        <v>119.91</v>
      </c>
      <c r="M24" s="72">
        <f t="shared" si="13"/>
        <v>165.2108627</v>
      </c>
      <c r="N24" s="72">
        <f t="shared" si="13"/>
        <v>171.233213</v>
      </c>
      <c r="O24" s="72">
        <f t="shared" si="13"/>
        <v>186.1781356</v>
      </c>
      <c r="P24" s="72">
        <f t="shared" si="13"/>
        <v>174.6981542</v>
      </c>
    </row>
    <row r="25" ht="14.25" customHeight="1">
      <c r="D25" s="9" t="s">
        <v>131</v>
      </c>
      <c r="E25" s="11" t="str">
        <f>Currency&amp;"'000"</f>
        <v>$'000</v>
      </c>
      <c r="G25" s="83">
        <f t="shared" si="3"/>
        <v>35.10143476</v>
      </c>
      <c r="L25" s="9">
        <f>Calc!L191/Div</f>
        <v>26.6847</v>
      </c>
      <c r="M25" s="9">
        <f>Calc!M191/Div</f>
        <v>35.86002945</v>
      </c>
      <c r="N25" s="9">
        <f>Calc!N191/Div</f>
        <v>36.76268114</v>
      </c>
      <c r="O25" s="9">
        <f>Calc!O191/Div</f>
        <v>39.5131508</v>
      </c>
      <c r="P25" s="9">
        <f>Calc!P191/Div</f>
        <v>36.68661239</v>
      </c>
    </row>
    <row r="26" ht="14.25" customHeight="1">
      <c r="D26" s="58" t="s">
        <v>282</v>
      </c>
      <c r="E26" s="11" t="str">
        <f>Currency&amp;"'000"</f>
        <v>$'000</v>
      </c>
      <c r="G26" s="83">
        <f t="shared" si="3"/>
        <v>128.3446384</v>
      </c>
      <c r="H26" s="9" t="str">
        <f>IFERROR(__xludf.DUMMYFUNCTION("ARRAY_CONSTRAIN(ARRAYFORMULA(SPARKLINE(PL!L26:P26, {""charttype"",""line"";""color"",""#376092"";""empty"",""ignore"";""nan"",""convert""})), 1, 1)"),"")</f>
        <v/>
      </c>
      <c r="L26" s="72">
        <f t="shared" ref="L26:P26" si="14">L24-L25</f>
        <v>93.2253</v>
      </c>
      <c r="M26" s="72">
        <f t="shared" si="14"/>
        <v>129.3508332</v>
      </c>
      <c r="N26" s="72">
        <f t="shared" si="14"/>
        <v>134.4705319</v>
      </c>
      <c r="O26" s="72">
        <f t="shared" si="14"/>
        <v>146.6649848</v>
      </c>
      <c r="P26" s="72">
        <f t="shared" si="14"/>
        <v>138.0115419</v>
      </c>
    </row>
    <row r="27" ht="14.25" customHeight="1">
      <c r="A27" s="85"/>
      <c r="B27" s="85"/>
      <c r="C27" s="85"/>
      <c r="D27" s="85" t="s">
        <v>283</v>
      </c>
      <c r="E27" s="85" t="s">
        <v>122</v>
      </c>
      <c r="F27" s="85"/>
      <c r="G27" s="86">
        <f t="shared" si="3"/>
        <v>0.1266840027</v>
      </c>
      <c r="H27" s="85"/>
      <c r="I27" s="85"/>
      <c r="J27" s="85"/>
      <c r="K27" s="85"/>
      <c r="L27" s="87">
        <f t="shared" ref="L27:P27" si="15">L26/L10</f>
        <v>0.103445739</v>
      </c>
      <c r="M27" s="87">
        <f t="shared" si="15"/>
        <v>0.1373509783</v>
      </c>
      <c r="N27" s="87">
        <f t="shared" si="15"/>
        <v>0.1353434334</v>
      </c>
      <c r="O27" s="87">
        <f t="shared" si="15"/>
        <v>0.1341363429</v>
      </c>
      <c r="P27" s="87">
        <f t="shared" si="15"/>
        <v>0.1231435197</v>
      </c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  <extLst>
    <ext uri="{05C60535-1F16-4fd2-B633-F4F36F0B64E0}">
      <x14:sparklineGroups>
        <x14:sparklineGroup displayEmptyCellsAs="gap">
          <x14:colorSeries rgb="FF376092"/>
          <x14:sparklines>
            <x14:sparkline>
              <xm:f>PL!L10:P10</xm:f>
              <xm:sqref>H10</xm:sqref>
            </x14:sparkline>
          </x14:sparklines>
        </x14:sparklineGroup>
        <x14:sparklineGroup displayEmptyCellsAs="gap">
          <x14:colorSeries rgb="FF376092"/>
          <x14:sparklines>
            <x14:sparkline>
              <xm:f>PL!L12:P12</xm:f>
              <xm:sqref>H12</xm:sqref>
            </x14:sparkline>
          </x14:sparklines>
        </x14:sparklineGroup>
        <x14:sparklineGroup displayEmptyCellsAs="gap">
          <x14:colorSeries rgb="FF376092"/>
          <x14:sparklines>
            <x14:sparkline>
              <xm:f>PL!L14:P14</xm:f>
              <xm:sqref>H14</xm:sqref>
            </x14:sparkline>
          </x14:sparklines>
        </x14:sparklineGroup>
        <x14:sparklineGroup displayEmptyCellsAs="gap">
          <x14:colorSeries rgb="FF376092"/>
          <x14:sparklines>
            <x14:sparkline>
              <xm:f>PL!L16:P16</xm:f>
              <xm:sqref>H16</xm:sqref>
            </x14:sparkline>
          </x14:sparklines>
        </x14:sparklineGroup>
        <x14:sparklineGroup displayEmptyCellsAs="gap">
          <x14:colorSeries rgb="FF376092"/>
          <x14:sparklines>
            <x14:sparkline>
              <xm:f>PL!L18:P18</xm:f>
              <xm:sqref>H18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3" width="2.5"/>
    <col customWidth="1" min="4" max="4" width="22.88"/>
    <col customWidth="1" min="5" max="5" width="5.13"/>
    <col customWidth="1" min="6" max="6" width="12.25"/>
    <col customWidth="1" min="7" max="8" width="8.63"/>
    <col customWidth="1" min="9" max="10" width="1.38"/>
    <col customWidth="1" min="11" max="11" width="10.88"/>
    <col customWidth="1" min="12" max="16" width="9.38"/>
    <col customWidth="1" min="17" max="26" width="8.63"/>
  </cols>
  <sheetData>
    <row r="1" ht="14.25" customHeight="1"/>
    <row r="2" ht="14.25" customHeight="1">
      <c r="B2" s="35" t="str">
        <f>Guide!$F$33</f>
        <v>TOWV Bootcamp Limited</v>
      </c>
    </row>
    <row r="3" ht="14.25" customHeight="1">
      <c r="B3" s="36" t="s">
        <v>38</v>
      </c>
    </row>
    <row r="4" ht="14.25" customHeight="1">
      <c r="G4" s="11" t="s">
        <v>104</v>
      </c>
      <c r="K4" s="42"/>
      <c r="L4" s="43">
        <f t="shared" ref="L4:P4" si="1">K5+1</f>
        <v>44562</v>
      </c>
      <c r="M4" s="43">
        <f t="shared" si="1"/>
        <v>44927</v>
      </c>
      <c r="N4" s="43">
        <f t="shared" si="1"/>
        <v>45292</v>
      </c>
      <c r="O4" s="43">
        <f t="shared" si="1"/>
        <v>45658</v>
      </c>
      <c r="P4" s="43">
        <f t="shared" si="1"/>
        <v>46023</v>
      </c>
    </row>
    <row r="5" ht="14.25" customHeight="1">
      <c r="C5" s="44" t="str">
        <f>Scenario</f>
        <v>Live Scenario: Base Case</v>
      </c>
      <c r="G5" s="11" t="s">
        <v>105</v>
      </c>
      <c r="K5" s="43">
        <f>Guide!F39-1</f>
        <v>44561</v>
      </c>
      <c r="L5" s="43">
        <f>EDATE(K5,Guide!$F$41)</f>
        <v>44926</v>
      </c>
      <c r="M5" s="43">
        <f>EDATE(L5,Guide!$F$41)</f>
        <v>45291</v>
      </c>
      <c r="N5" s="43">
        <f>EDATE(M5,Guide!$F$41)</f>
        <v>45657</v>
      </c>
      <c r="O5" s="43">
        <f>EDATE(N5,Guide!$F$41)</f>
        <v>46022</v>
      </c>
      <c r="P5" s="43">
        <f>EDATE(O5,Guide!$F$41)</f>
        <v>46387</v>
      </c>
    </row>
    <row r="6" ht="14.25" customHeight="1">
      <c r="C6" s="44" t="s">
        <v>106</v>
      </c>
      <c r="G6" s="11" t="s">
        <v>107</v>
      </c>
      <c r="K6" s="42"/>
      <c r="L6" s="45">
        <f t="shared" ref="L6:P6" si="2">YEAR(L4)</f>
        <v>2022</v>
      </c>
      <c r="M6" s="45">
        <f t="shared" si="2"/>
        <v>2023</v>
      </c>
      <c r="N6" s="45">
        <f t="shared" si="2"/>
        <v>2024</v>
      </c>
      <c r="O6" s="45">
        <f t="shared" si="2"/>
        <v>2025</v>
      </c>
      <c r="P6" s="45">
        <f t="shared" si="2"/>
        <v>2026</v>
      </c>
    </row>
    <row r="7" ht="14.25" customHeight="1">
      <c r="D7" s="11" t="s">
        <v>108</v>
      </c>
      <c r="E7" s="11" t="s">
        <v>109</v>
      </c>
      <c r="F7" s="46" t="s">
        <v>110</v>
      </c>
      <c r="G7" s="11" t="s">
        <v>111</v>
      </c>
      <c r="H7" s="11" t="s">
        <v>112</v>
      </c>
      <c r="K7" s="11" t="s">
        <v>284</v>
      </c>
      <c r="L7" s="13" t="str">
        <f t="shared" ref="L7:P7" si="3">IF(L20=L37,"OK",L20-L37)</f>
        <v>OK</v>
      </c>
      <c r="M7" s="13" t="str">
        <f t="shared" si="3"/>
        <v>OK</v>
      </c>
      <c r="N7" s="13" t="str">
        <f t="shared" si="3"/>
        <v>OK</v>
      </c>
      <c r="O7" s="13" t="str">
        <f t="shared" si="3"/>
        <v>OK</v>
      </c>
      <c r="P7" s="13" t="str">
        <f t="shared" si="3"/>
        <v>OK</v>
      </c>
    </row>
    <row r="8" ht="14.25" customHeight="1"/>
    <row r="9" ht="14.25" customHeight="1">
      <c r="B9" s="36" t="s">
        <v>38</v>
      </c>
    </row>
    <row r="10" ht="14.25" customHeight="1">
      <c r="C10" s="58" t="s">
        <v>155</v>
      </c>
    </row>
    <row r="11" ht="14.25" customHeight="1">
      <c r="D11" s="58" t="s">
        <v>285</v>
      </c>
    </row>
    <row r="12" ht="14.25" customHeight="1">
      <c r="D12" s="9" t="s">
        <v>286</v>
      </c>
      <c r="E12" s="11" t="str">
        <f>Currency&amp;"'000"</f>
        <v>$'000</v>
      </c>
      <c r="G12" s="83">
        <f t="shared" ref="G12:G13" si="4">AVERAGE(L12:P12)</f>
        <v>44.38745937</v>
      </c>
      <c r="L12" s="9">
        <f>Calc!L64/Div</f>
        <v>47.7</v>
      </c>
      <c r="M12" s="9">
        <f>Calc!M64/Div</f>
        <v>42.5325</v>
      </c>
      <c r="N12" s="9">
        <f>Calc!N64/Div</f>
        <v>43.05826265</v>
      </c>
      <c r="O12" s="9">
        <f>Calc!O64/Div</f>
        <v>43.8299255</v>
      </c>
      <c r="P12" s="9">
        <f>Calc!P64/Div</f>
        <v>44.81660868</v>
      </c>
    </row>
    <row r="13" ht="14.25" customHeight="1">
      <c r="D13" s="58" t="s">
        <v>287</v>
      </c>
      <c r="E13" s="11" t="str">
        <f>Currency&amp;"'000"</f>
        <v>$'000</v>
      </c>
      <c r="G13" s="83">
        <f t="shared" si="4"/>
        <v>44.38745937</v>
      </c>
      <c r="L13" s="72">
        <f t="shared" ref="L13:P13" si="5">SUM(L12)</f>
        <v>47.7</v>
      </c>
      <c r="M13" s="72">
        <f t="shared" si="5"/>
        <v>42.5325</v>
      </c>
      <c r="N13" s="72">
        <f t="shared" si="5"/>
        <v>43.05826265</v>
      </c>
      <c r="O13" s="72">
        <f t="shared" si="5"/>
        <v>43.8299255</v>
      </c>
      <c r="P13" s="72">
        <f t="shared" si="5"/>
        <v>44.81660868</v>
      </c>
    </row>
    <row r="14" ht="14.25" customHeight="1">
      <c r="D14" s="58" t="s">
        <v>288</v>
      </c>
    </row>
    <row r="15" ht="14.25" customHeight="1">
      <c r="D15" s="9" t="s">
        <v>172</v>
      </c>
      <c r="E15" s="11" t="str">
        <f>Currency&amp;"'000"</f>
        <v>$'000</v>
      </c>
      <c r="G15" s="83">
        <f t="shared" ref="G15:G20" si="6">AVERAGE(L15:P15)</f>
        <v>63.300274</v>
      </c>
      <c r="L15" s="9">
        <f>Calc!L214/Div</f>
        <v>53.79616438</v>
      </c>
      <c r="M15" s="9">
        <f>Calc!M214/Div</f>
        <v>57.55791288</v>
      </c>
      <c r="N15" s="9">
        <f>Calc!N214/Div</f>
        <v>61.97484178</v>
      </c>
      <c r="O15" s="9">
        <f>Calc!O214/Div</f>
        <v>69.94002258</v>
      </c>
      <c r="P15" s="9">
        <f>Calc!P214/Div</f>
        <v>73.23242837</v>
      </c>
    </row>
    <row r="16" ht="14.25" customHeight="1">
      <c r="D16" s="9" t="s">
        <v>173</v>
      </c>
      <c r="E16" s="11" t="str">
        <f>Currency&amp;"'000"</f>
        <v>$'000</v>
      </c>
      <c r="G16" s="83">
        <f t="shared" si="6"/>
        <v>69.14971908</v>
      </c>
      <c r="L16" s="9">
        <f>Calc!L215/Div</f>
        <v>61.7260274</v>
      </c>
      <c r="M16" s="9">
        <f>Calc!M215/Div</f>
        <v>64.50369863</v>
      </c>
      <c r="N16" s="9">
        <f>Calc!N215/Div</f>
        <v>67.86546926</v>
      </c>
      <c r="O16" s="9">
        <f>Calc!O215/Div</f>
        <v>74.89056796</v>
      </c>
      <c r="P16" s="9">
        <f>Calc!P215/Div</f>
        <v>76.76283216</v>
      </c>
    </row>
    <row r="17" ht="14.25" customHeight="1">
      <c r="D17" s="9" t="s">
        <v>174</v>
      </c>
      <c r="E17" s="11" t="str">
        <f>Currency&amp;"'000"</f>
        <v>$'000</v>
      </c>
      <c r="G17" s="83">
        <f t="shared" si="6"/>
        <v>20.99035585</v>
      </c>
      <c r="L17" s="9">
        <f>Calc!L216/Div</f>
        <v>22.84438356</v>
      </c>
      <c r="M17" s="9">
        <f>Calc!M216/Div</f>
        <v>19.32953425</v>
      </c>
      <c r="N17" s="9">
        <f>Calc!N216/Div</f>
        <v>19.73936732</v>
      </c>
      <c r="O17" s="9">
        <f>Calc!O216/Div</f>
        <v>21.07740208</v>
      </c>
      <c r="P17" s="9">
        <f>Calc!P216/Div</f>
        <v>21.96109204</v>
      </c>
    </row>
    <row r="18" ht="14.25" customHeight="1">
      <c r="D18" s="9" t="s">
        <v>289</v>
      </c>
      <c r="E18" s="11" t="str">
        <f>Currency&amp;"'000"</f>
        <v>$'000</v>
      </c>
      <c r="G18" s="83">
        <f t="shared" si="6"/>
        <v>352.5204606</v>
      </c>
      <c r="L18" s="38">
        <f>CF!L36</f>
        <v>208.020013</v>
      </c>
      <c r="M18" s="38">
        <f>CF!M36</f>
        <v>283.3545548</v>
      </c>
      <c r="N18" s="38">
        <f>CF!N36</f>
        <v>347.7973829</v>
      </c>
      <c r="O18" s="38">
        <f>CF!O36</f>
        <v>416.4445077</v>
      </c>
      <c r="P18" s="38">
        <f>CF!P36</f>
        <v>506.9858447</v>
      </c>
    </row>
    <row r="19" ht="14.25" customHeight="1">
      <c r="D19" s="58" t="s">
        <v>290</v>
      </c>
      <c r="E19" s="11" t="str">
        <f>Currency&amp;"'000"</f>
        <v>$'000</v>
      </c>
      <c r="G19" s="83">
        <f t="shared" si="6"/>
        <v>505.9608096</v>
      </c>
      <c r="L19" s="72">
        <f t="shared" ref="L19:P19" si="7">SUM(L15:L18)</f>
        <v>346.3865884</v>
      </c>
      <c r="M19" s="72">
        <f t="shared" si="7"/>
        <v>424.7457006</v>
      </c>
      <c r="N19" s="72">
        <f t="shared" si="7"/>
        <v>497.3770613</v>
      </c>
      <c r="O19" s="72">
        <f t="shared" si="7"/>
        <v>582.3525003</v>
      </c>
      <c r="P19" s="72">
        <f t="shared" si="7"/>
        <v>678.9421973</v>
      </c>
    </row>
    <row r="20" ht="14.25" customHeight="1">
      <c r="D20" s="58" t="s">
        <v>291</v>
      </c>
      <c r="E20" s="11" t="str">
        <f>Currency&amp;"'000"</f>
        <v>$'000</v>
      </c>
      <c r="G20" s="83">
        <f t="shared" si="6"/>
        <v>550.3482689</v>
      </c>
      <c r="L20" s="60">
        <f t="shared" ref="L20:P20" si="8">L13+L19</f>
        <v>394.0865884</v>
      </c>
      <c r="M20" s="60">
        <f t="shared" si="8"/>
        <v>467.2782006</v>
      </c>
      <c r="N20" s="60">
        <f t="shared" si="8"/>
        <v>540.435324</v>
      </c>
      <c r="O20" s="60">
        <f t="shared" si="8"/>
        <v>626.1824258</v>
      </c>
      <c r="P20" s="60">
        <f t="shared" si="8"/>
        <v>723.758806</v>
      </c>
    </row>
    <row r="21" ht="14.25" customHeight="1">
      <c r="C21" s="58" t="s">
        <v>175</v>
      </c>
    </row>
    <row r="22" ht="14.25" customHeight="1">
      <c r="D22" s="58" t="s">
        <v>292</v>
      </c>
    </row>
    <row r="23" ht="14.25" customHeight="1">
      <c r="D23" s="9" t="s">
        <v>138</v>
      </c>
      <c r="E23" s="11" t="str">
        <f>Currency&amp;"'000"</f>
        <v>$'000</v>
      </c>
      <c r="G23" s="83">
        <f t="shared" ref="G23:G24" si="9">AVERAGE(L23:P23)</f>
        <v>31.7264833</v>
      </c>
      <c r="L23" s="9">
        <f>Calc!L23/Div</f>
        <v>77.53047974</v>
      </c>
      <c r="M23" s="9">
        <f>Calc!M23/Div</f>
        <v>53.45214184</v>
      </c>
      <c r="N23" s="9">
        <f>Calc!N23/Div</f>
        <v>27.64979494</v>
      </c>
      <c r="O23" s="9">
        <f>Calc!O23/Div</f>
        <v>0</v>
      </c>
      <c r="P23" s="9">
        <f>Calc!P23/Div</f>
        <v>0</v>
      </c>
    </row>
    <row r="24" ht="14.25" customHeight="1">
      <c r="D24" s="58" t="s">
        <v>293</v>
      </c>
      <c r="E24" s="11" t="str">
        <f>Currency&amp;"'000"</f>
        <v>$'000</v>
      </c>
      <c r="G24" s="83">
        <f t="shared" si="9"/>
        <v>31.7264833</v>
      </c>
      <c r="L24" s="72">
        <f t="shared" ref="L24:P24" si="10">SUM(L23)</f>
        <v>77.53047974</v>
      </c>
      <c r="M24" s="72">
        <f t="shared" si="10"/>
        <v>53.45214184</v>
      </c>
      <c r="N24" s="72">
        <f t="shared" si="10"/>
        <v>27.64979494</v>
      </c>
      <c r="O24" s="72">
        <f t="shared" si="10"/>
        <v>0</v>
      </c>
      <c r="P24" s="72">
        <f t="shared" si="10"/>
        <v>0</v>
      </c>
    </row>
    <row r="25" ht="14.25" customHeight="1">
      <c r="D25" s="58" t="s">
        <v>294</v>
      </c>
    </row>
    <row r="26" ht="14.25" customHeight="1">
      <c r="D26" s="9" t="s">
        <v>176</v>
      </c>
      <c r="E26" s="11" t="str">
        <f>Currency&amp;"'000"</f>
        <v>$'000</v>
      </c>
      <c r="G26" s="83">
        <f t="shared" ref="G26:G31" si="11">AVERAGE(L26:P26)</f>
        <v>47.4752055</v>
      </c>
      <c r="L26" s="9">
        <f>Calc!L219/Div</f>
        <v>40.34712329</v>
      </c>
      <c r="M26" s="9">
        <f>Calc!M219/Div</f>
        <v>43.16843466</v>
      </c>
      <c r="N26" s="9">
        <f>Calc!N219/Div</f>
        <v>46.48113133</v>
      </c>
      <c r="O26" s="9">
        <f>Calc!O219/Div</f>
        <v>52.45501694</v>
      </c>
      <c r="P26" s="9">
        <f>Calc!P219/Div</f>
        <v>54.92432128</v>
      </c>
    </row>
    <row r="27" ht="14.25" customHeight="1">
      <c r="D27" s="9" t="s">
        <v>177</v>
      </c>
      <c r="E27" s="11" t="str">
        <f>Currency&amp;"'000"</f>
        <v>$'000</v>
      </c>
      <c r="G27" s="83">
        <f t="shared" si="11"/>
        <v>17.49196321</v>
      </c>
      <c r="L27" s="9">
        <f>Calc!L220/Div</f>
        <v>19.0369863</v>
      </c>
      <c r="M27" s="9">
        <f>Calc!M220/Div</f>
        <v>16.10794521</v>
      </c>
      <c r="N27" s="9">
        <f>Calc!N220/Div</f>
        <v>16.44947277</v>
      </c>
      <c r="O27" s="9">
        <f>Calc!O220/Div</f>
        <v>17.56450173</v>
      </c>
      <c r="P27" s="9">
        <f>Calc!P220/Div</f>
        <v>18.30091003</v>
      </c>
    </row>
    <row r="28" ht="14.25" customHeight="1">
      <c r="D28" s="9" t="s">
        <v>178</v>
      </c>
      <c r="E28" s="11" t="str">
        <f>Currency&amp;"'000"</f>
        <v>$'000</v>
      </c>
      <c r="G28" s="83">
        <f t="shared" si="11"/>
        <v>13.99357057</v>
      </c>
      <c r="L28" s="9">
        <f>Calc!L221/Div</f>
        <v>15.22958904</v>
      </c>
      <c r="M28" s="9">
        <f>Calc!M221/Div</f>
        <v>12.88635616</v>
      </c>
      <c r="N28" s="9">
        <f>Calc!N221/Div</f>
        <v>13.15957822</v>
      </c>
      <c r="O28" s="9">
        <f>Calc!O221/Div</f>
        <v>14.05160138</v>
      </c>
      <c r="P28" s="9">
        <f>Calc!P221/Div</f>
        <v>14.64072802</v>
      </c>
    </row>
    <row r="29" ht="14.25" customHeight="1">
      <c r="D29" s="9" t="s">
        <v>295</v>
      </c>
      <c r="E29" s="11" t="str">
        <f>Currency&amp;"'000"</f>
        <v>$'000</v>
      </c>
      <c r="G29" s="83">
        <f t="shared" si="11"/>
        <v>35.10143476</v>
      </c>
      <c r="L29" s="9">
        <f>PL!L25</f>
        <v>26.6847</v>
      </c>
      <c r="M29" s="9">
        <f>PL!M25</f>
        <v>35.86002945</v>
      </c>
      <c r="N29" s="9">
        <f>PL!N25</f>
        <v>36.76268114</v>
      </c>
      <c r="O29" s="9">
        <f>PL!O25</f>
        <v>39.5131508</v>
      </c>
      <c r="P29" s="9">
        <f>PL!P25</f>
        <v>36.68661239</v>
      </c>
    </row>
    <row r="30" ht="14.25" customHeight="1">
      <c r="D30" s="58" t="s">
        <v>296</v>
      </c>
      <c r="E30" s="11" t="str">
        <f>Currency&amp;"'000"</f>
        <v>$'000</v>
      </c>
      <c r="G30" s="83">
        <f t="shared" si="11"/>
        <v>114.062174</v>
      </c>
      <c r="L30" s="72">
        <f t="shared" ref="L30:P30" si="12">SUM(L26:L29)</f>
        <v>101.2983986</v>
      </c>
      <c r="M30" s="72">
        <f t="shared" si="12"/>
        <v>108.0227655</v>
      </c>
      <c r="N30" s="72">
        <f t="shared" si="12"/>
        <v>112.8528635</v>
      </c>
      <c r="O30" s="72">
        <f t="shared" si="12"/>
        <v>123.5842708</v>
      </c>
      <c r="P30" s="72">
        <f t="shared" si="12"/>
        <v>124.5525717</v>
      </c>
    </row>
    <row r="31" ht="14.25" customHeight="1">
      <c r="D31" s="58" t="s">
        <v>297</v>
      </c>
      <c r="E31" s="11" t="str">
        <f>Currency&amp;"'000"</f>
        <v>$'000</v>
      </c>
      <c r="G31" s="83">
        <f t="shared" si="11"/>
        <v>145.7886573</v>
      </c>
      <c r="L31" s="60">
        <f t="shared" ref="L31:P31" si="13">L24+L30</f>
        <v>178.8288784</v>
      </c>
      <c r="M31" s="60">
        <f t="shared" si="13"/>
        <v>161.4749073</v>
      </c>
      <c r="N31" s="60">
        <f t="shared" si="13"/>
        <v>140.5026584</v>
      </c>
      <c r="O31" s="60">
        <f t="shared" si="13"/>
        <v>123.5842708</v>
      </c>
      <c r="P31" s="60">
        <f t="shared" si="13"/>
        <v>124.5525717</v>
      </c>
    </row>
    <row r="32" ht="14.25" customHeight="1">
      <c r="C32" s="58" t="s">
        <v>140</v>
      </c>
    </row>
    <row r="33" ht="14.25" customHeight="1">
      <c r="D33" s="58" t="s">
        <v>140</v>
      </c>
    </row>
    <row r="34" ht="14.25" customHeight="1">
      <c r="D34" s="9" t="s">
        <v>298</v>
      </c>
      <c r="E34" s="11" t="str">
        <f>Currency&amp;"'000"</f>
        <v>$'000</v>
      </c>
      <c r="G34" s="83">
        <f t="shared" ref="G34:G37" si="14">AVERAGE(L34:P34)</f>
        <v>150</v>
      </c>
      <c r="L34" s="9">
        <f>Calc!L37/Div</f>
        <v>150</v>
      </c>
      <c r="M34" s="9">
        <f>Calc!M37/Div</f>
        <v>150</v>
      </c>
      <c r="N34" s="9">
        <f>Calc!N37/Div</f>
        <v>150</v>
      </c>
      <c r="O34" s="9">
        <f>Calc!O37/Div</f>
        <v>150</v>
      </c>
      <c r="P34" s="9">
        <f>Calc!P37/Div</f>
        <v>150</v>
      </c>
    </row>
    <row r="35" ht="14.25" customHeight="1">
      <c r="D35" s="84" t="s">
        <v>223</v>
      </c>
      <c r="E35" s="11" t="str">
        <f>Currency&amp;"'000"</f>
        <v>$'000</v>
      </c>
      <c r="G35" s="83">
        <f t="shared" si="14"/>
        <v>254.5596116</v>
      </c>
      <c r="L35" s="9">
        <f>Calc!L43/Div</f>
        <v>65.25771</v>
      </c>
      <c r="M35" s="9">
        <f>Calc!M43/Div</f>
        <v>155.8032932</v>
      </c>
      <c r="N35" s="9">
        <f>Calc!N43/Div</f>
        <v>249.9326656</v>
      </c>
      <c r="O35" s="9">
        <f>Calc!O43/Div</f>
        <v>352.5981549</v>
      </c>
      <c r="P35" s="9">
        <f>Calc!P43/Div</f>
        <v>449.2062342</v>
      </c>
    </row>
    <row r="36" ht="14.25" customHeight="1">
      <c r="D36" s="58" t="s">
        <v>299</v>
      </c>
      <c r="E36" s="11" t="str">
        <f>Currency&amp;"'000"</f>
        <v>$'000</v>
      </c>
      <c r="G36" s="83">
        <f t="shared" si="14"/>
        <v>404.5596116</v>
      </c>
      <c r="L36" s="72">
        <f t="shared" ref="L36:P36" si="15">SUM(L34:L35)</f>
        <v>215.25771</v>
      </c>
      <c r="M36" s="72">
        <f t="shared" si="15"/>
        <v>305.8032932</v>
      </c>
      <c r="N36" s="72">
        <f t="shared" si="15"/>
        <v>399.9326656</v>
      </c>
      <c r="O36" s="72">
        <f t="shared" si="15"/>
        <v>502.5981549</v>
      </c>
      <c r="P36" s="72">
        <f t="shared" si="15"/>
        <v>599.2062342</v>
      </c>
    </row>
    <row r="37" ht="14.25" customHeight="1">
      <c r="D37" s="58" t="s">
        <v>300</v>
      </c>
      <c r="E37" s="11" t="str">
        <f>Currency&amp;"'000"</f>
        <v>$'000</v>
      </c>
      <c r="G37" s="83">
        <f t="shared" si="14"/>
        <v>550.3482689</v>
      </c>
      <c r="L37" s="60">
        <f t="shared" ref="L37:P37" si="16">L36+L31</f>
        <v>394.0865884</v>
      </c>
      <c r="M37" s="60">
        <f t="shared" si="16"/>
        <v>467.2782006</v>
      </c>
      <c r="N37" s="60">
        <f t="shared" si="16"/>
        <v>540.435324</v>
      </c>
      <c r="O37" s="60">
        <f t="shared" si="16"/>
        <v>626.1824258</v>
      </c>
      <c r="P37" s="60">
        <f t="shared" si="16"/>
        <v>723.758806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3" width="2.5"/>
    <col customWidth="1" min="4" max="4" width="22.88"/>
    <col customWidth="1" min="5" max="5" width="8.63"/>
    <col customWidth="1" min="6" max="6" width="12.25"/>
    <col customWidth="1" min="7" max="8" width="8.63"/>
    <col customWidth="1" min="9" max="10" width="1.38"/>
    <col customWidth="1" min="11" max="11" width="10.88"/>
    <col customWidth="1" min="12" max="16" width="9.38"/>
    <col customWidth="1" min="17" max="26" width="8.63"/>
  </cols>
  <sheetData>
    <row r="1" ht="14.25" customHeight="1"/>
    <row r="2" ht="14.25" customHeight="1">
      <c r="B2" s="35" t="str">
        <f>Guide!$F$33</f>
        <v>TOWV Bootcamp Limited</v>
      </c>
    </row>
    <row r="3" ht="14.25" customHeight="1">
      <c r="B3" s="36" t="s">
        <v>40</v>
      </c>
    </row>
    <row r="4" ht="14.25" customHeight="1">
      <c r="G4" s="11" t="s">
        <v>104</v>
      </c>
      <c r="K4" s="42"/>
      <c r="L4" s="43">
        <f t="shared" ref="L4:P4" si="1">K5+1</f>
        <v>44562</v>
      </c>
      <c r="M4" s="43">
        <f t="shared" si="1"/>
        <v>44927</v>
      </c>
      <c r="N4" s="43">
        <f t="shared" si="1"/>
        <v>45292</v>
      </c>
      <c r="O4" s="43">
        <f t="shared" si="1"/>
        <v>45658</v>
      </c>
      <c r="P4" s="43">
        <f t="shared" si="1"/>
        <v>46023</v>
      </c>
    </row>
    <row r="5" ht="14.25" customHeight="1">
      <c r="C5" s="44" t="str">
        <f>Scenario</f>
        <v>Live Scenario: Base Case</v>
      </c>
      <c r="G5" s="11" t="s">
        <v>105</v>
      </c>
      <c r="K5" s="43">
        <f>Guide!F39-1</f>
        <v>44561</v>
      </c>
      <c r="L5" s="43">
        <f>EDATE(K5,Guide!$F$41)</f>
        <v>44926</v>
      </c>
      <c r="M5" s="43">
        <f>EDATE(L5,Guide!$F$41)</f>
        <v>45291</v>
      </c>
      <c r="N5" s="43">
        <f>EDATE(M5,Guide!$F$41)</f>
        <v>45657</v>
      </c>
      <c r="O5" s="43">
        <f>EDATE(N5,Guide!$F$41)</f>
        <v>46022</v>
      </c>
      <c r="P5" s="43">
        <f>EDATE(O5,Guide!$F$41)</f>
        <v>46387</v>
      </c>
    </row>
    <row r="6" ht="14.25" customHeight="1">
      <c r="C6" s="44" t="s">
        <v>106</v>
      </c>
      <c r="G6" s="11" t="s">
        <v>107</v>
      </c>
      <c r="K6" s="42"/>
      <c r="L6" s="45">
        <f t="shared" ref="L6:P6" si="2">YEAR(L4)</f>
        <v>2022</v>
      </c>
      <c r="M6" s="45">
        <f t="shared" si="2"/>
        <v>2023</v>
      </c>
      <c r="N6" s="45">
        <f t="shared" si="2"/>
        <v>2024</v>
      </c>
      <c r="O6" s="45">
        <f t="shared" si="2"/>
        <v>2025</v>
      </c>
      <c r="P6" s="45">
        <f t="shared" si="2"/>
        <v>2026</v>
      </c>
    </row>
    <row r="7" ht="14.25" customHeight="1">
      <c r="D7" s="11" t="s">
        <v>108</v>
      </c>
      <c r="E7" s="11" t="s">
        <v>109</v>
      </c>
      <c r="F7" s="46" t="s">
        <v>110</v>
      </c>
      <c r="G7" s="11" t="s">
        <v>111</v>
      </c>
      <c r="H7" s="11" t="s">
        <v>112</v>
      </c>
    </row>
    <row r="8" ht="14.25" customHeight="1"/>
    <row r="9" ht="14.25" customHeight="1"/>
    <row r="10" ht="14.25" customHeight="1">
      <c r="C10" s="58" t="s">
        <v>301</v>
      </c>
    </row>
    <row r="11" ht="14.25" customHeight="1">
      <c r="D11" s="9" t="s">
        <v>302</v>
      </c>
      <c r="E11" s="11" t="str">
        <f>Currency&amp;"'000"</f>
        <v>$'000</v>
      </c>
      <c r="G11" s="83">
        <f>AVERAGE(L11:P11)</f>
        <v>163.4460731</v>
      </c>
      <c r="L11" s="38">
        <f>PL!L24</f>
        <v>119.91</v>
      </c>
      <c r="M11" s="38">
        <f>PL!M24</f>
        <v>165.2108627</v>
      </c>
      <c r="N11" s="38">
        <f>PL!N24</f>
        <v>171.233213</v>
      </c>
      <c r="O11" s="38">
        <f>PL!O24</f>
        <v>186.1781356</v>
      </c>
      <c r="P11" s="38">
        <f>PL!P24</f>
        <v>174.6981542</v>
      </c>
    </row>
    <row r="12" ht="14.25" customHeight="1">
      <c r="D12" s="89" t="s">
        <v>303</v>
      </c>
      <c r="G12" s="83"/>
    </row>
    <row r="13" ht="14.25" customHeight="1">
      <c r="D13" s="9" t="s">
        <v>304</v>
      </c>
      <c r="E13" s="11" t="str">
        <f>Currency&amp;"'000"</f>
        <v>$'000</v>
      </c>
      <c r="G13" s="83">
        <f>AVERAGE(L13:P13)</f>
        <v>9.54</v>
      </c>
      <c r="L13" s="9">
        <f>PL!L20</f>
        <v>5.3</v>
      </c>
      <c r="M13" s="9">
        <f>PL!M20</f>
        <v>10.6</v>
      </c>
      <c r="N13" s="9">
        <f>PL!N20</f>
        <v>10.6</v>
      </c>
      <c r="O13" s="9">
        <f>PL!O20</f>
        <v>10.6</v>
      </c>
      <c r="P13" s="9">
        <f>PL!P20</f>
        <v>10.6</v>
      </c>
    </row>
    <row r="14" ht="14.25" customHeight="1">
      <c r="D14" s="89" t="s">
        <v>305</v>
      </c>
    </row>
    <row r="15" ht="14.25" customHeight="1">
      <c r="D15" s="9" t="str">
        <f>BS!D15</f>
        <v>Inventories</v>
      </c>
      <c r="E15" s="11" t="str">
        <f>Currency&amp;"'000"</f>
        <v>$'000</v>
      </c>
      <c r="G15" s="83">
        <f t="shared" ref="G15:G20" si="3">AVERAGE(L15:P15)</f>
        <v>-14.64648567</v>
      </c>
      <c r="L15" s="9">
        <f>BS!K15-BS!L15</f>
        <v>-53.79616438</v>
      </c>
      <c r="M15" s="9">
        <f>BS!L15-BS!M15</f>
        <v>-3.761748493</v>
      </c>
      <c r="N15" s="9">
        <f>BS!M15-BS!N15</f>
        <v>-4.4169289</v>
      </c>
      <c r="O15" s="9">
        <f>BS!N15-BS!O15</f>
        <v>-7.965180804</v>
      </c>
      <c r="P15" s="9">
        <f>BS!O15-BS!P15</f>
        <v>-3.292405786</v>
      </c>
    </row>
    <row r="16" ht="14.25" customHeight="1">
      <c r="D16" s="9" t="str">
        <f>BS!D16</f>
        <v>Trade receivables</v>
      </c>
      <c r="E16" s="11" t="str">
        <f>Currency&amp;"'000"</f>
        <v>$'000</v>
      </c>
      <c r="G16" s="83">
        <f t="shared" si="3"/>
        <v>-15.35256643</v>
      </c>
      <c r="L16" s="9">
        <f>BS!K16-BS!L16</f>
        <v>-61.7260274</v>
      </c>
      <c r="M16" s="9">
        <f>BS!L16-BS!M16</f>
        <v>-2.777671233</v>
      </c>
      <c r="N16" s="9">
        <f>BS!M16-BS!N16</f>
        <v>-3.361770632</v>
      </c>
      <c r="O16" s="9">
        <f>BS!N16-BS!O16</f>
        <v>-7.025098699</v>
      </c>
      <c r="P16" s="9">
        <f>BS!O16-BS!P16</f>
        <v>-1.872264199</v>
      </c>
    </row>
    <row r="17" ht="14.25" customHeight="1">
      <c r="D17" s="9" t="str">
        <f>BS!D17</f>
        <v>Prepayment</v>
      </c>
      <c r="E17" s="11" t="str">
        <f>Currency&amp;"'000"</f>
        <v>$'000</v>
      </c>
      <c r="G17" s="83">
        <f t="shared" si="3"/>
        <v>-4.392218407</v>
      </c>
      <c r="L17" s="9">
        <f>BS!K17-BS!L17</f>
        <v>-22.84438356</v>
      </c>
      <c r="M17" s="9">
        <f>BS!L17-BS!M17</f>
        <v>3.514849315</v>
      </c>
      <c r="N17" s="9">
        <f>BS!M17-BS!N17</f>
        <v>-0.409833078</v>
      </c>
      <c r="O17" s="9">
        <f>BS!N17-BS!O17</f>
        <v>-1.33803475</v>
      </c>
      <c r="P17" s="9">
        <f>BS!O17-BS!P17</f>
        <v>-0.8836899615</v>
      </c>
    </row>
    <row r="18" ht="14.25" customHeight="1">
      <c r="D18" s="9" t="str">
        <f>BS!D26</f>
        <v>Trade payables</v>
      </c>
      <c r="E18" s="11" t="str">
        <f>Currency&amp;"'000"</f>
        <v>$'000</v>
      </c>
      <c r="G18" s="83">
        <f t="shared" si="3"/>
        <v>10.98486426</v>
      </c>
      <c r="L18" s="9">
        <f>BS!L26-BS!K26</f>
        <v>40.34712329</v>
      </c>
      <c r="M18" s="9">
        <f>BS!M26-BS!L26</f>
        <v>2.82131137</v>
      </c>
      <c r="N18" s="9">
        <f>BS!N26-BS!M26</f>
        <v>3.312696675</v>
      </c>
      <c r="O18" s="9">
        <f>BS!O26-BS!N26</f>
        <v>5.973885603</v>
      </c>
      <c r="P18" s="9">
        <f>BS!P26-BS!O26</f>
        <v>2.46930434</v>
      </c>
    </row>
    <row r="19" ht="14.25" customHeight="1">
      <c r="D19" s="9" t="str">
        <f>BS!D27</f>
        <v>Accrued expenses</v>
      </c>
      <c r="E19" s="11" t="str">
        <f>Currency&amp;"'000"</f>
        <v>$'000</v>
      </c>
      <c r="G19" s="83">
        <f t="shared" si="3"/>
        <v>3.660182006</v>
      </c>
      <c r="L19" s="9">
        <f>BS!L27-BS!K27</f>
        <v>19.0369863</v>
      </c>
      <c r="M19" s="9">
        <f>BS!M27-BS!L27</f>
        <v>-2.929041096</v>
      </c>
      <c r="N19" s="9">
        <f>BS!N27-BS!M27</f>
        <v>0.341527565</v>
      </c>
      <c r="O19" s="9">
        <f>BS!O27-BS!N27</f>
        <v>1.115028959</v>
      </c>
      <c r="P19" s="9">
        <f>BS!P27-BS!O27</f>
        <v>0.7364083013</v>
      </c>
    </row>
    <row r="20" ht="14.25" customHeight="1">
      <c r="D20" s="9" t="str">
        <f>BS!D28</f>
        <v>Other liabilities</v>
      </c>
      <c r="E20" s="11" t="str">
        <f>Currency&amp;"'000"</f>
        <v>$'000</v>
      </c>
      <c r="G20" s="83">
        <f t="shared" si="3"/>
        <v>2.928145605</v>
      </c>
      <c r="L20" s="9">
        <f>BS!L28-BS!K28</f>
        <v>15.22958904</v>
      </c>
      <c r="M20" s="9">
        <f>BS!M28-BS!L28</f>
        <v>-2.343232877</v>
      </c>
      <c r="N20" s="9">
        <f>BS!N28-BS!M28</f>
        <v>0.273222052</v>
      </c>
      <c r="O20" s="9">
        <f>BS!O28-BS!N28</f>
        <v>0.8920231669</v>
      </c>
      <c r="P20" s="9">
        <f>BS!P28-BS!O28</f>
        <v>0.589126641</v>
      </c>
    </row>
    <row r="21" ht="14.25" customHeight="1">
      <c r="D21" s="89" t="s">
        <v>306</v>
      </c>
    </row>
    <row r="22" ht="14.25" customHeight="1">
      <c r="D22" s="9" t="s">
        <v>307</v>
      </c>
      <c r="E22" s="11" t="str">
        <f>Currency&amp;"'000"</f>
        <v>$'000</v>
      </c>
      <c r="G22" s="83">
        <f t="shared" ref="G22:G23" si="4">AVERAGE(L22:P22)</f>
        <v>-27.76411228</v>
      </c>
      <c r="L22" s="9">
        <f>-PL!K25</f>
        <v>0</v>
      </c>
      <c r="M22" s="9">
        <f>-PL!L25</f>
        <v>-26.6847</v>
      </c>
      <c r="N22" s="9">
        <f>-PL!M25</f>
        <v>-35.86002945</v>
      </c>
      <c r="O22" s="9">
        <f>-PL!N25</f>
        <v>-36.76268114</v>
      </c>
      <c r="P22" s="9">
        <f>-PL!O25</f>
        <v>-39.5131508</v>
      </c>
    </row>
    <row r="23" ht="14.25" customHeight="1">
      <c r="D23" s="58" t="s">
        <v>308</v>
      </c>
      <c r="E23" s="11" t="str">
        <f>Currency&amp;"'000"</f>
        <v>$'000</v>
      </c>
      <c r="G23" s="83">
        <f t="shared" si="4"/>
        <v>128.4038822</v>
      </c>
      <c r="L23" s="72">
        <f t="shared" ref="L23:P23" si="5">SUM(L11:L22)</f>
        <v>61.45712329</v>
      </c>
      <c r="M23" s="72">
        <f t="shared" si="5"/>
        <v>143.6506296</v>
      </c>
      <c r="N23" s="72">
        <f t="shared" si="5"/>
        <v>141.7120973</v>
      </c>
      <c r="O23" s="72">
        <f t="shared" si="5"/>
        <v>151.668078</v>
      </c>
      <c r="P23" s="72">
        <f t="shared" si="5"/>
        <v>143.5314828</v>
      </c>
    </row>
    <row r="24" ht="14.25" customHeight="1">
      <c r="C24" s="58" t="s">
        <v>309</v>
      </c>
    </row>
    <row r="25" ht="14.25" customHeight="1">
      <c r="D25" s="9" t="s">
        <v>310</v>
      </c>
      <c r="E25" s="11" t="str">
        <f>Currency&amp;"'000"</f>
        <v>$'000</v>
      </c>
      <c r="G25" s="83">
        <f t="shared" ref="G25:G26" si="6">AVERAGE(L25:P25)</f>
        <v>-18.50332174</v>
      </c>
      <c r="L25" s="9">
        <f>-Calc!L62/Div</f>
        <v>-53</v>
      </c>
      <c r="M25" s="9">
        <f>-Calc!M62/Div</f>
        <v>-5.4325</v>
      </c>
      <c r="N25" s="9">
        <f>-Calc!N62/Div</f>
        <v>-11.12576265</v>
      </c>
      <c r="O25" s="9">
        <f>-Calc!O62/Div</f>
        <v>-11.37166285</v>
      </c>
      <c r="P25" s="9">
        <f>-Calc!P62/Div</f>
        <v>-11.58668318</v>
      </c>
    </row>
    <row r="26" ht="14.25" customHeight="1">
      <c r="D26" s="58" t="s">
        <v>311</v>
      </c>
      <c r="E26" s="11" t="str">
        <f>Currency&amp;"'000"</f>
        <v>$'000</v>
      </c>
      <c r="G26" s="83">
        <f t="shared" si="6"/>
        <v>-18.50332174</v>
      </c>
      <c r="L26" s="72">
        <f t="shared" ref="L26:P26" si="7">SUM(L25)</f>
        <v>-53</v>
      </c>
      <c r="M26" s="72">
        <f t="shared" si="7"/>
        <v>-5.4325</v>
      </c>
      <c r="N26" s="72">
        <f t="shared" si="7"/>
        <v>-11.12576265</v>
      </c>
      <c r="O26" s="72">
        <f t="shared" si="7"/>
        <v>-11.37166285</v>
      </c>
      <c r="P26" s="72">
        <f t="shared" si="7"/>
        <v>-11.58668318</v>
      </c>
    </row>
    <row r="27" ht="14.25" customHeight="1">
      <c r="C27" s="58" t="s">
        <v>312</v>
      </c>
    </row>
    <row r="28" ht="14.25" customHeight="1">
      <c r="D28" s="9" t="s">
        <v>313</v>
      </c>
      <c r="E28" s="11" t="str">
        <f>Currency&amp;"'000"</f>
        <v>$'000</v>
      </c>
      <c r="G28" s="83">
        <f t="shared" ref="G28:G32" si="8">AVERAGE(L28:P28)</f>
        <v>30</v>
      </c>
      <c r="L28" s="9">
        <f>Calc!L36/Div</f>
        <v>150</v>
      </c>
      <c r="M28" s="9">
        <f>Calc!M36/Div</f>
        <v>0</v>
      </c>
      <c r="N28" s="9">
        <f>Calc!N36/Div</f>
        <v>0</v>
      </c>
      <c r="O28" s="9">
        <f>Calc!O36/Div</f>
        <v>0</v>
      </c>
      <c r="P28" s="9">
        <f>Calc!P36/Div</f>
        <v>0</v>
      </c>
    </row>
    <row r="29" ht="14.25" customHeight="1">
      <c r="D29" s="9" t="s">
        <v>314</v>
      </c>
      <c r="E29" s="11" t="str">
        <f>Currency&amp;"'000"</f>
        <v>$'000</v>
      </c>
      <c r="G29" s="83">
        <f t="shared" si="8"/>
        <v>20</v>
      </c>
      <c r="L29" s="9">
        <f>Calc!L17/Div</f>
        <v>100</v>
      </c>
      <c r="M29" s="9">
        <f>Calc!M17/Div</f>
        <v>0</v>
      </c>
      <c r="N29" s="9">
        <f>Calc!N17/Div</f>
        <v>0</v>
      </c>
      <c r="O29" s="9">
        <f>Calc!O17/Div</f>
        <v>0</v>
      </c>
      <c r="P29" s="9">
        <f>Calc!P17/Div</f>
        <v>0</v>
      </c>
    </row>
    <row r="30" ht="14.25" customHeight="1">
      <c r="D30" s="9" t="s">
        <v>315</v>
      </c>
      <c r="E30" s="11" t="str">
        <f>Currency&amp;"'000"</f>
        <v>$'000</v>
      </c>
      <c r="G30" s="83">
        <f t="shared" si="8"/>
        <v>-38.50339151</v>
      </c>
      <c r="L30" s="9">
        <f>-Calc!L42/Div</f>
        <v>-27.96759</v>
      </c>
      <c r="M30" s="9">
        <f>-Calc!M42/Div</f>
        <v>-38.80524996</v>
      </c>
      <c r="N30" s="9">
        <f>-Calc!N42/Div</f>
        <v>-40.34115957</v>
      </c>
      <c r="O30" s="9">
        <f>-Calc!O42/Div</f>
        <v>-43.99949545</v>
      </c>
      <c r="P30" s="9">
        <f>-Calc!P42/Div</f>
        <v>-41.40346256</v>
      </c>
    </row>
    <row r="31" ht="14.25" customHeight="1">
      <c r="D31" s="9" t="s">
        <v>316</v>
      </c>
      <c r="E31" s="11" t="str">
        <f>Currency&amp;"'000"</f>
        <v>$'000</v>
      </c>
      <c r="G31" s="83">
        <f t="shared" si="8"/>
        <v>-20</v>
      </c>
      <c r="L31" s="9">
        <f>-Calc!L22/Div</f>
        <v>-22.46952026</v>
      </c>
      <c r="M31" s="9">
        <f>-Calc!M22/Div</f>
        <v>-24.07833791</v>
      </c>
      <c r="N31" s="9">
        <f>-Calc!N22/Div</f>
        <v>-25.8023469</v>
      </c>
      <c r="O31" s="9">
        <f>-Calc!O22/Div</f>
        <v>-27.64979494</v>
      </c>
      <c r="P31" s="9">
        <f>-Calc!P22/Div</f>
        <v>0</v>
      </c>
    </row>
    <row r="32" ht="14.25" customHeight="1">
      <c r="D32" s="58" t="s">
        <v>317</v>
      </c>
      <c r="E32" s="11" t="str">
        <f>Currency&amp;"'000"</f>
        <v>$'000</v>
      </c>
      <c r="G32" s="83">
        <f t="shared" si="8"/>
        <v>-8.503391506</v>
      </c>
      <c r="L32" s="72">
        <f t="shared" ref="L32:P32" si="9">SUM(L28:L31)</f>
        <v>199.5628897</v>
      </c>
      <c r="M32" s="72">
        <f t="shared" si="9"/>
        <v>-62.88358787</v>
      </c>
      <c r="N32" s="72">
        <f t="shared" si="9"/>
        <v>-66.14350647</v>
      </c>
      <c r="O32" s="72">
        <f t="shared" si="9"/>
        <v>-71.64929039</v>
      </c>
      <c r="P32" s="72">
        <f t="shared" si="9"/>
        <v>-41.40346256</v>
      </c>
    </row>
    <row r="33" ht="14.25" customHeight="1">
      <c r="C33" s="58" t="s">
        <v>318</v>
      </c>
    </row>
    <row r="34" ht="14.25" customHeight="1">
      <c r="D34" s="9" t="s">
        <v>215</v>
      </c>
      <c r="E34" s="11" t="str">
        <f>Currency&amp;"'000"</f>
        <v>$'000</v>
      </c>
      <c r="G34" s="83">
        <f t="shared" ref="G34:G36" si="11">AVERAGE(L34:P34)</f>
        <v>313.9041146</v>
      </c>
      <c r="L34" s="9" t="str">
        <f t="shared" ref="L34:P34" si="10">K36</f>
        <v/>
      </c>
      <c r="M34" s="38">
        <f t="shared" si="10"/>
        <v>208.020013</v>
      </c>
      <c r="N34" s="38">
        <f t="shared" si="10"/>
        <v>283.3545548</v>
      </c>
      <c r="O34" s="38">
        <f t="shared" si="10"/>
        <v>347.7973829</v>
      </c>
      <c r="P34" s="38">
        <f t="shared" si="10"/>
        <v>416.4445077</v>
      </c>
    </row>
    <row r="35" ht="14.25" customHeight="1">
      <c r="D35" s="9" t="s">
        <v>319</v>
      </c>
      <c r="E35" s="11" t="str">
        <f>Currency&amp;"'000"</f>
        <v>$'000</v>
      </c>
      <c r="G35" s="83">
        <f t="shared" si="11"/>
        <v>101.3971689</v>
      </c>
      <c r="L35" s="38">
        <f t="shared" ref="L35:P35" si="12">L23+L26+L32</f>
        <v>208.020013</v>
      </c>
      <c r="M35" s="38">
        <f t="shared" si="12"/>
        <v>75.33454177</v>
      </c>
      <c r="N35" s="38">
        <f t="shared" si="12"/>
        <v>64.44282814</v>
      </c>
      <c r="O35" s="38">
        <f t="shared" si="12"/>
        <v>68.64712472</v>
      </c>
      <c r="P35" s="38">
        <f t="shared" si="12"/>
        <v>90.54133705</v>
      </c>
    </row>
    <row r="36" ht="14.25" customHeight="1">
      <c r="D36" s="9" t="s">
        <v>320</v>
      </c>
      <c r="E36" s="11" t="str">
        <f>Currency&amp;"'000"</f>
        <v>$'000</v>
      </c>
      <c r="G36" s="83">
        <f t="shared" si="11"/>
        <v>352.5204606</v>
      </c>
      <c r="L36" s="60">
        <f t="shared" ref="L36:P36" si="13">L34+L35</f>
        <v>208.020013</v>
      </c>
      <c r="M36" s="60">
        <f t="shared" si="13"/>
        <v>283.3545548</v>
      </c>
      <c r="N36" s="60">
        <f t="shared" si="13"/>
        <v>347.7973829</v>
      </c>
      <c r="O36" s="60">
        <f t="shared" si="13"/>
        <v>416.4445077</v>
      </c>
      <c r="P36" s="60">
        <f t="shared" si="13"/>
        <v>506.9858447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3" width="2.5"/>
    <col customWidth="1" min="4" max="4" width="22.88"/>
    <col customWidth="1" min="5" max="5" width="5.13"/>
    <col customWidth="1" min="6" max="6" width="12.25"/>
    <col customWidth="1" min="7" max="8" width="8.63"/>
    <col customWidth="1" min="9" max="10" width="1.38"/>
    <col customWidth="1" min="11" max="11" width="10.13"/>
    <col customWidth="1" min="12" max="16" width="9.38"/>
    <col customWidth="1" min="17" max="26" width="8.63"/>
  </cols>
  <sheetData>
    <row r="1" ht="14.25" customHeight="1"/>
    <row r="2" ht="14.25" customHeight="1">
      <c r="B2" s="35" t="str">
        <f>Guide!$F$33</f>
        <v>TOWV Bootcamp Limited</v>
      </c>
    </row>
    <row r="3" ht="14.25" customHeight="1">
      <c r="B3" s="36" t="s">
        <v>321</v>
      </c>
    </row>
    <row r="4" ht="14.25" customHeight="1">
      <c r="G4" s="11" t="s">
        <v>104</v>
      </c>
      <c r="K4" s="42"/>
      <c r="L4" s="43">
        <f t="shared" ref="L4:P4" si="1">K5+1</f>
        <v>44562</v>
      </c>
      <c r="M4" s="43">
        <f t="shared" si="1"/>
        <v>44927</v>
      </c>
      <c r="N4" s="43">
        <f t="shared" si="1"/>
        <v>45292</v>
      </c>
      <c r="O4" s="43">
        <f t="shared" si="1"/>
        <v>45658</v>
      </c>
      <c r="P4" s="43">
        <f t="shared" si="1"/>
        <v>46023</v>
      </c>
    </row>
    <row r="5" ht="14.25" customHeight="1">
      <c r="C5" s="44" t="str">
        <f>Scenario</f>
        <v>Live Scenario: Base Case</v>
      </c>
      <c r="G5" s="11" t="s">
        <v>105</v>
      </c>
      <c r="K5" s="82">
        <f>Guide!F39-1</f>
        <v>44561</v>
      </c>
      <c r="L5" s="43">
        <f>EDATE(K5,Guide!$F$41)</f>
        <v>44926</v>
      </c>
      <c r="M5" s="43">
        <f>EDATE(L5,Guide!$F$41)</f>
        <v>45291</v>
      </c>
      <c r="N5" s="43">
        <f>EDATE(M5,Guide!$F$41)</f>
        <v>45657</v>
      </c>
      <c r="O5" s="43">
        <f>EDATE(N5,Guide!$F$41)</f>
        <v>46022</v>
      </c>
      <c r="P5" s="43">
        <f>EDATE(O5,Guide!$F$41)</f>
        <v>46387</v>
      </c>
    </row>
    <row r="6" ht="14.25" customHeight="1">
      <c r="C6" s="44" t="s">
        <v>106</v>
      </c>
      <c r="G6" s="11" t="s">
        <v>107</v>
      </c>
      <c r="K6" s="42"/>
      <c r="L6" s="45">
        <f t="shared" ref="L6:P6" si="2">YEAR(L4)</f>
        <v>2022</v>
      </c>
      <c r="M6" s="45">
        <f t="shared" si="2"/>
        <v>2023</v>
      </c>
      <c r="N6" s="45">
        <f t="shared" si="2"/>
        <v>2024</v>
      </c>
      <c r="O6" s="45">
        <f t="shared" si="2"/>
        <v>2025</v>
      </c>
      <c r="P6" s="45">
        <f t="shared" si="2"/>
        <v>2026</v>
      </c>
    </row>
    <row r="7" ht="14.25" customHeight="1">
      <c r="D7" s="11" t="s">
        <v>108</v>
      </c>
      <c r="E7" s="11" t="s">
        <v>109</v>
      </c>
      <c r="F7" s="46" t="s">
        <v>110</v>
      </c>
      <c r="G7" s="11" t="s">
        <v>111</v>
      </c>
      <c r="H7" s="11" t="s">
        <v>112</v>
      </c>
    </row>
    <row r="8" ht="14.25" customHeight="1"/>
    <row r="9" ht="14.25" customHeight="1">
      <c r="B9" s="47" t="s">
        <v>42</v>
      </c>
    </row>
    <row r="10" ht="14.25" customHeight="1">
      <c r="C10" s="36" t="s">
        <v>322</v>
      </c>
    </row>
    <row r="11" ht="14.25" customHeight="1">
      <c r="D11" s="9" t="s">
        <v>323</v>
      </c>
      <c r="L11" s="56">
        <f>PL!L11</f>
        <v>0</v>
      </c>
      <c r="M11" s="56">
        <f>PL!M11</f>
        <v>0.045</v>
      </c>
      <c r="N11" s="56">
        <f>PL!N11</f>
        <v>0.055</v>
      </c>
      <c r="O11" s="56">
        <f>PL!O11</f>
        <v>0.1005</v>
      </c>
      <c r="P11" s="56">
        <f>PL!P11</f>
        <v>0.025</v>
      </c>
    </row>
    <row r="12" ht="14.25" customHeight="1">
      <c r="D12" s="9" t="s">
        <v>324</v>
      </c>
      <c r="L12" s="56">
        <f>PL!L15</f>
        <v>0.4552929427</v>
      </c>
      <c r="M12" s="56">
        <f>PL!M15</f>
        <v>0.4423002663</v>
      </c>
      <c r="N12" s="56">
        <f>PL!N15</f>
        <v>0.4292491228</v>
      </c>
      <c r="O12" s="56">
        <f>PL!O15</f>
        <v>0.416314827</v>
      </c>
      <c r="P12" s="56">
        <f>PL!P15</f>
        <v>0.4037444107</v>
      </c>
    </row>
    <row r="13" ht="14.25" customHeight="1">
      <c r="D13" s="9" t="s">
        <v>325</v>
      </c>
      <c r="L13" s="56">
        <f>PL!L17</f>
        <v>0.3084110075</v>
      </c>
      <c r="M13" s="56">
        <f>PL!M17</f>
        <v>0.2497212648</v>
      </c>
      <c r="N13" s="56">
        <f>PL!N17</f>
        <v>0.2423835413</v>
      </c>
      <c r="O13" s="56">
        <f>PL!O17</f>
        <v>0.2345355658</v>
      </c>
      <c r="P13" s="56">
        <f>PL!P17</f>
        <v>0.2384084786</v>
      </c>
    </row>
    <row r="14" ht="14.25" customHeight="1">
      <c r="D14" s="9" t="s">
        <v>326</v>
      </c>
      <c r="L14" s="56">
        <f>PL!L19</f>
        <v>0.1468819352</v>
      </c>
      <c r="M14" s="56">
        <f>PL!M19</f>
        <v>0.1925790015</v>
      </c>
      <c r="N14" s="56">
        <f>PL!N19</f>
        <v>0.1868655816</v>
      </c>
      <c r="O14" s="56">
        <f>PL!O19</f>
        <v>0.1817792613</v>
      </c>
      <c r="P14" s="56">
        <f>PL!P19</f>
        <v>0.165335932</v>
      </c>
    </row>
    <row r="15" ht="14.25" customHeight="1">
      <c r="D15" s="9" t="s">
        <v>327</v>
      </c>
      <c r="L15" s="56">
        <f>PL!L24/PL!L10</f>
        <v>0.1330559254</v>
      </c>
      <c r="M15" s="56">
        <f>PL!M24/PL!M10</f>
        <v>0.175428894</v>
      </c>
      <c r="N15" s="56">
        <f>PL!N24/PL!N10</f>
        <v>0.1723447557</v>
      </c>
      <c r="O15" s="56">
        <f>PL!O24/PL!O10</f>
        <v>0.1702741406</v>
      </c>
      <c r="P15" s="56">
        <f>PL!P24/PL!P10</f>
        <v>0.155877873</v>
      </c>
    </row>
    <row r="16" ht="14.25" customHeight="1">
      <c r="D16" s="9" t="s">
        <v>328</v>
      </c>
      <c r="L16" s="56">
        <f>PL!L26/PL!L10</f>
        <v>0.103445739</v>
      </c>
      <c r="M16" s="56">
        <f>PL!M26/PL!M10</f>
        <v>0.1373509783</v>
      </c>
      <c r="N16" s="56">
        <f>PL!N26/PL!N10</f>
        <v>0.1353434334</v>
      </c>
      <c r="O16" s="56">
        <f>PL!O26/PL!O10</f>
        <v>0.1341363429</v>
      </c>
      <c r="P16" s="56">
        <f>PL!P26/PL!P10</f>
        <v>0.1231435197</v>
      </c>
    </row>
    <row r="17" ht="14.25" customHeight="1">
      <c r="D17" s="9" t="s">
        <v>329</v>
      </c>
      <c r="L17" s="56">
        <f>PL!L26/AVERAGE(BS!K36:L36)</f>
        <v>0.4330869264</v>
      </c>
      <c r="M17" s="56">
        <f>PL!M26/AVERAGE(BS!L36:M36)</f>
        <v>0.4964901706</v>
      </c>
      <c r="N17" s="56">
        <f>PL!N26/AVERAGE(BS!M36:N36)</f>
        <v>0.3810788729</v>
      </c>
      <c r="O17" s="56">
        <f>PL!O26/AVERAGE(BS!N36:O36)</f>
        <v>0.3250082579</v>
      </c>
      <c r="P17" s="56">
        <f>PL!P26/AVERAGE(BS!O36:P36)</f>
        <v>0.2505191361</v>
      </c>
    </row>
    <row r="18" ht="14.25" customHeight="1">
      <c r="D18" s="9" t="s">
        <v>330</v>
      </c>
      <c r="L18" s="56">
        <f>PL!L26/(Inputs!$L$38/Div)</f>
        <v>0.3729012</v>
      </c>
      <c r="M18" s="56">
        <f>PL!M26/(Inputs!$L$38/Div)</f>
        <v>0.5174033328</v>
      </c>
      <c r="N18" s="56">
        <f>PL!N26/(Inputs!$L$38/Div)</f>
        <v>0.5378821275</v>
      </c>
      <c r="O18" s="56">
        <f>PL!O26/(Inputs!$L$38/Div)</f>
        <v>0.5866599393</v>
      </c>
      <c r="P18" s="56">
        <f>PL!P26/(Inputs!$L$38/Div)</f>
        <v>0.5520461674</v>
      </c>
    </row>
    <row r="19" ht="14.25" customHeight="1">
      <c r="D19" s="9" t="s">
        <v>331</v>
      </c>
      <c r="L19" s="56">
        <f>PL!L22/AVERAGE(BS!K20:L20)</f>
        <v>0.3224418281</v>
      </c>
      <c r="M19" s="56">
        <f>PL!M22/AVERAGE(BS!L20:M20)</f>
        <v>0.3964918167</v>
      </c>
      <c r="N19" s="56">
        <f>PL!N22/AVERAGE(BS!M20:N20)</f>
        <v>0.3474407798</v>
      </c>
      <c r="O19" s="56">
        <f>PL!O22/AVERAGE(BS!N20:O20)</f>
        <v>0.322569858</v>
      </c>
      <c r="P19" s="56">
        <f>PL!P22/AVERAGE(BS!O20:P20)</f>
        <v>0.2588233475</v>
      </c>
    </row>
    <row r="20" ht="14.25" customHeight="1"/>
    <row r="21" ht="14.25" customHeight="1">
      <c r="D21" s="9" t="str">
        <f t="array" ref="D21">INDEX(PL_Metrics,PL_switch)</f>
        <v>Revenue growth</v>
      </c>
      <c r="E21" s="9">
        <v>1.0</v>
      </c>
      <c r="L21" s="56">
        <f t="array" ref="L21">INDEX(L11:L19,PL_switch)</f>
        <v>0</v>
      </c>
      <c r="M21" s="56">
        <f t="array" ref="M21">INDEX(M11:M19,PL_switch)</f>
        <v>0.045</v>
      </c>
      <c r="N21" s="56">
        <f t="array" ref="N21">INDEX(N11:N19,PL_switch)</f>
        <v>0.055</v>
      </c>
      <c r="O21" s="56">
        <f t="array" ref="O21">INDEX(O11:O19,PL_switch)</f>
        <v>0.1005</v>
      </c>
      <c r="P21" s="56">
        <f t="array" ref="P21">INDEX(P11:P19,PL_switch)</f>
        <v>0.025</v>
      </c>
    </row>
    <row r="22" ht="14.25" customHeight="1"/>
    <row r="23" ht="14.25" customHeight="1"/>
    <row r="24" ht="14.25" customHeight="1">
      <c r="C24" s="36" t="s">
        <v>332</v>
      </c>
    </row>
    <row r="25" ht="14.25" customHeight="1">
      <c r="D25" s="9" t="str">
        <f>PL!D10</f>
        <v>Revenue</v>
      </c>
      <c r="L25" s="38">
        <f>PL!L10</f>
        <v>901.2</v>
      </c>
      <c r="M25" s="38">
        <f>PL!M10</f>
        <v>941.754</v>
      </c>
      <c r="N25" s="38">
        <f>PL!N10</f>
        <v>993.55047</v>
      </c>
      <c r="O25" s="38">
        <f>PL!O10</f>
        <v>1093.402292</v>
      </c>
      <c r="P25" s="38">
        <f>PL!P10</f>
        <v>1120.73735</v>
      </c>
    </row>
    <row r="26" ht="14.25" customHeight="1">
      <c r="D26" s="9" t="str">
        <f>PL!D12</f>
        <v>Cost of Sales</v>
      </c>
      <c r="L26" s="9">
        <f>PL!L12</f>
        <v>490.89</v>
      </c>
      <c r="M26" s="9">
        <f>PL!M12</f>
        <v>525.215955</v>
      </c>
      <c r="N26" s="9">
        <f>PL!N12</f>
        <v>567.0698023</v>
      </c>
      <c r="O26" s="9">
        <f>PL!O12</f>
        <v>638.202706</v>
      </c>
      <c r="P26" s="9">
        <f>PL!P12</f>
        <v>668.2459089</v>
      </c>
    </row>
    <row r="27" ht="14.25" customHeight="1">
      <c r="D27" s="38" t="str">
        <f>PL!D14</f>
        <v>Gross Profit</v>
      </c>
      <c r="L27" s="38">
        <f>PL!L14</f>
        <v>410.31</v>
      </c>
      <c r="M27" s="38">
        <f>PL!M14</f>
        <v>416.538045</v>
      </c>
      <c r="N27" s="38">
        <f>PL!N14</f>
        <v>426.4806677</v>
      </c>
      <c r="O27" s="38">
        <f>PL!O14</f>
        <v>455.1995862</v>
      </c>
      <c r="P27" s="38">
        <f>PL!P14</f>
        <v>452.4914407</v>
      </c>
    </row>
    <row r="28" ht="14.25" customHeight="1">
      <c r="D28" s="9" t="str">
        <f>PL!D16</f>
        <v>SG&amp;A</v>
      </c>
      <c r="L28" s="9">
        <f>PL!L16</f>
        <v>277.94</v>
      </c>
      <c r="M28" s="9">
        <f>PL!M16</f>
        <v>235.176</v>
      </c>
      <c r="N28" s="9">
        <f>PL!N16</f>
        <v>240.8202814</v>
      </c>
      <c r="O28" s="9">
        <f>PL!O16</f>
        <v>256.4417252</v>
      </c>
      <c r="P28" s="9">
        <f>PL!P16</f>
        <v>267.1932864</v>
      </c>
    </row>
    <row r="29" ht="14.25" customHeight="1">
      <c r="D29" s="38" t="str">
        <f>PL!D18</f>
        <v>EBITDA</v>
      </c>
      <c r="L29" s="38">
        <f>PL!L18</f>
        <v>132.37</v>
      </c>
      <c r="M29" s="38">
        <f>PL!M18</f>
        <v>181.362045</v>
      </c>
      <c r="N29" s="38">
        <f>PL!N18</f>
        <v>185.6603864</v>
      </c>
      <c r="O29" s="38">
        <f>PL!O18</f>
        <v>198.7578609</v>
      </c>
      <c r="P29" s="38">
        <f>PL!P18</f>
        <v>185.2981542</v>
      </c>
    </row>
    <row r="30" ht="14.25" customHeight="1">
      <c r="D30" s="38" t="str">
        <f>PL!D24</f>
        <v>EBT</v>
      </c>
      <c r="L30" s="38">
        <f>PL!L24</f>
        <v>119.91</v>
      </c>
      <c r="M30" s="38">
        <f>PL!M24</f>
        <v>165.2108627</v>
      </c>
      <c r="N30" s="38">
        <f>PL!N24</f>
        <v>171.233213</v>
      </c>
      <c r="O30" s="38">
        <f>PL!O24</f>
        <v>186.1781356</v>
      </c>
      <c r="P30" s="38">
        <f>PL!P24</f>
        <v>174.6981542</v>
      </c>
    </row>
    <row r="31" ht="14.25" customHeight="1">
      <c r="D31" s="38" t="str">
        <f>PL!D26</f>
        <v>Net profit</v>
      </c>
      <c r="L31" s="38">
        <f>PL!L26</f>
        <v>93.2253</v>
      </c>
      <c r="M31" s="38">
        <f>PL!M26</f>
        <v>129.3508332</v>
      </c>
      <c r="N31" s="38">
        <f>PL!N26</f>
        <v>134.4705319</v>
      </c>
      <c r="O31" s="38">
        <f>PL!O26</f>
        <v>146.6649848</v>
      </c>
      <c r="P31" s="38">
        <f>PL!P26</f>
        <v>138.0115419</v>
      </c>
    </row>
    <row r="32" ht="14.25" customHeight="1">
      <c r="D32" s="9" t="s">
        <v>333</v>
      </c>
      <c r="L32" s="38">
        <f>BS!L20</f>
        <v>394.0865884</v>
      </c>
      <c r="M32" s="38">
        <f>BS!M20</f>
        <v>467.2782006</v>
      </c>
      <c r="N32" s="38">
        <f>BS!N20</f>
        <v>540.435324</v>
      </c>
      <c r="O32" s="38">
        <f>BS!O20</f>
        <v>626.1824258</v>
      </c>
      <c r="P32" s="38">
        <f>BS!P20</f>
        <v>723.758806</v>
      </c>
    </row>
    <row r="33" ht="14.25" customHeight="1">
      <c r="D33" s="9" t="s">
        <v>297</v>
      </c>
      <c r="L33" s="38">
        <f>BS!L31</f>
        <v>178.8288784</v>
      </c>
      <c r="M33" s="38">
        <f>BS!M31</f>
        <v>161.4749073</v>
      </c>
      <c r="N33" s="38">
        <f>BS!N31</f>
        <v>140.5026584</v>
      </c>
      <c r="O33" s="38">
        <f>BS!O31</f>
        <v>123.5842708</v>
      </c>
      <c r="P33" s="38">
        <f>BS!P31</f>
        <v>124.5525717</v>
      </c>
    </row>
    <row r="34" ht="14.25" customHeight="1">
      <c r="D34" s="9" t="s">
        <v>299</v>
      </c>
      <c r="L34" s="38">
        <f>BS!L36</f>
        <v>215.25771</v>
      </c>
      <c r="M34" s="38">
        <f>BS!M36</f>
        <v>305.8032932</v>
      </c>
      <c r="N34" s="38">
        <f>BS!N36</f>
        <v>399.9326656</v>
      </c>
      <c r="O34" s="38">
        <f>BS!O36</f>
        <v>502.5981549</v>
      </c>
      <c r="P34" s="38">
        <f>BS!P36</f>
        <v>599.2062342</v>
      </c>
    </row>
    <row r="35" ht="14.25" customHeight="1">
      <c r="D35" s="9" t="s">
        <v>334</v>
      </c>
      <c r="L35" s="38">
        <f>CF!L23</f>
        <v>61.45712329</v>
      </c>
      <c r="M35" s="38">
        <f>CF!M23</f>
        <v>143.6506296</v>
      </c>
      <c r="N35" s="38">
        <f>CF!N23</f>
        <v>141.7120973</v>
      </c>
      <c r="O35" s="38">
        <f>CF!O23</f>
        <v>151.668078</v>
      </c>
      <c r="P35" s="38">
        <f>CF!P23</f>
        <v>143.5314828</v>
      </c>
    </row>
    <row r="36" ht="14.25" customHeight="1">
      <c r="D36" s="9" t="s">
        <v>335</v>
      </c>
      <c r="L36" s="38">
        <f>CF!L36</f>
        <v>208.020013</v>
      </c>
      <c r="M36" s="38">
        <f>CF!M36</f>
        <v>283.3545548</v>
      </c>
      <c r="N36" s="38">
        <f>CF!N36</f>
        <v>347.7973829</v>
      </c>
      <c r="O36" s="38">
        <f>CF!O36</f>
        <v>416.4445077</v>
      </c>
      <c r="P36" s="38">
        <f>CF!P36</f>
        <v>506.9858447</v>
      </c>
    </row>
    <row r="37" ht="14.25" customHeight="1"/>
    <row r="38" ht="14.25" customHeight="1">
      <c r="D38" s="9" t="str">
        <f t="array" ref="D38">INDEX(F_List,F_Switch1)</f>
        <v>Revenue</v>
      </c>
      <c r="F38" s="9">
        <v>1.0</v>
      </c>
      <c r="L38" s="38">
        <f t="array" ref="L38">INDEX(L25:L36,F_Switch1)</f>
        <v>901.2</v>
      </c>
      <c r="M38" s="38">
        <f t="array" ref="M38">INDEX(M25:M36,F_Switch1)</f>
        <v>941.754</v>
      </c>
      <c r="N38" s="38">
        <f t="array" ref="N38">INDEX(N25:N36,F_Switch1)</f>
        <v>993.55047</v>
      </c>
      <c r="O38" s="38">
        <f t="array" ref="O38">INDEX(O25:O36,F_Switch1)</f>
        <v>1093.402292</v>
      </c>
      <c r="P38" s="38">
        <f t="array" ref="P38">INDEX(P25:P36,F_Switch1)</f>
        <v>1120.73735</v>
      </c>
    </row>
    <row r="39" ht="14.25" customHeight="1">
      <c r="D39" s="38" t="str">
        <f t="array" ref="D39">INDEX(F_List,F_Switch2)</f>
        <v>EBITDA</v>
      </c>
      <c r="F39" s="9">
        <v>5.0</v>
      </c>
      <c r="L39" s="38">
        <f t="array" ref="L39">INDEX(L25:L36,F_Switch2)</f>
        <v>132.37</v>
      </c>
      <c r="M39" s="38">
        <f t="array" ref="M39">INDEX(M25:M36,F_Switch2)</f>
        <v>181.362045</v>
      </c>
      <c r="N39" s="38">
        <f t="array" ref="N39">INDEX(N25:N36,F_Switch2)</f>
        <v>185.6603864</v>
      </c>
      <c r="O39" s="38">
        <f t="array" ref="O39">INDEX(O25:O36,F_Switch2)</f>
        <v>198.7578609</v>
      </c>
      <c r="P39" s="38">
        <f t="array" ref="P39">INDEX(P25:P36,F_Switch2)</f>
        <v>185.2981542</v>
      </c>
    </row>
    <row r="40" ht="14.25" customHeight="1"/>
    <row r="41" ht="14.25" customHeight="1"/>
    <row r="42" ht="14.25" customHeight="1">
      <c r="C42" s="36" t="s">
        <v>336</v>
      </c>
    </row>
    <row r="43" ht="14.25" customHeight="1">
      <c r="D43" s="34" t="s">
        <v>212</v>
      </c>
    </row>
    <row r="44" ht="14.25" customHeight="1">
      <c r="D44" s="9" t="str">
        <f>Inputs!D27</f>
        <v>Provision for tax</v>
      </c>
      <c r="E44" s="11" t="str">
        <f>Inputs!E27</f>
        <v>%age</v>
      </c>
      <c r="L44" s="52">
        <f>Inputs!L27</f>
        <v>0.21</v>
      </c>
      <c r="M44" s="52">
        <f>Inputs!M27</f>
        <v>0.21</v>
      </c>
      <c r="N44" s="52">
        <f>Inputs!N27</f>
        <v>0.21</v>
      </c>
      <c r="O44" s="52">
        <f>Inputs!O27</f>
        <v>0.21</v>
      </c>
      <c r="P44" s="52">
        <f>Inputs!P27</f>
        <v>0.21</v>
      </c>
    </row>
    <row r="45" ht="14.25" customHeight="1"/>
    <row r="46" ht="14.25" customHeight="1">
      <c r="D46" s="9" t="s">
        <v>280</v>
      </c>
      <c r="E46" s="11" t="str">
        <f>Currency&amp;"'000"</f>
        <v>$'000</v>
      </c>
      <c r="L46" s="38">
        <f>PL!L22</f>
        <v>127.07</v>
      </c>
      <c r="M46" s="38">
        <f>PL!M22</f>
        <v>170.762045</v>
      </c>
      <c r="N46" s="38">
        <f>PL!N22</f>
        <v>175.0603864</v>
      </c>
      <c r="O46" s="38">
        <f>PL!O22</f>
        <v>188.1578609</v>
      </c>
      <c r="P46" s="38">
        <f>PL!P22</f>
        <v>174.6981542</v>
      </c>
    </row>
    <row r="47" ht="14.25" customHeight="1">
      <c r="D47" s="9" t="s">
        <v>337</v>
      </c>
      <c r="E47" s="11" t="str">
        <f>Currency&amp;"'000"</f>
        <v>$'000</v>
      </c>
      <c r="L47" s="9">
        <f t="shared" ref="L47:P47" si="3">L46*L44</f>
        <v>26.6847</v>
      </c>
      <c r="M47" s="9">
        <f t="shared" si="3"/>
        <v>35.86002945</v>
      </c>
      <c r="N47" s="9">
        <f t="shared" si="3"/>
        <v>36.76268114</v>
      </c>
      <c r="O47" s="9">
        <f t="shared" si="3"/>
        <v>39.5131508</v>
      </c>
      <c r="P47" s="9">
        <f t="shared" si="3"/>
        <v>36.68661239</v>
      </c>
    </row>
    <row r="48" ht="14.25" customHeight="1">
      <c r="D48" s="58" t="s">
        <v>338</v>
      </c>
      <c r="E48" s="11" t="str">
        <f>Currency&amp;"'000"</f>
        <v>$'000</v>
      </c>
      <c r="L48" s="72">
        <f t="shared" ref="L48:P48" si="4">L46-L47</f>
        <v>100.3853</v>
      </c>
      <c r="M48" s="72">
        <f t="shared" si="4"/>
        <v>134.9020156</v>
      </c>
      <c r="N48" s="72">
        <f t="shared" si="4"/>
        <v>138.2977052</v>
      </c>
      <c r="O48" s="72">
        <f t="shared" si="4"/>
        <v>148.6447101</v>
      </c>
      <c r="P48" s="72">
        <f t="shared" si="4"/>
        <v>138.0115419</v>
      </c>
    </row>
    <row r="49" ht="14.25" customHeight="1">
      <c r="D49" s="9" t="s">
        <v>339</v>
      </c>
      <c r="E49" s="11" t="str">
        <f>Currency&amp;"'000"</f>
        <v>$'000</v>
      </c>
      <c r="L49" s="9">
        <f>PL!L20</f>
        <v>5.3</v>
      </c>
      <c r="M49" s="9">
        <f>PL!M20</f>
        <v>10.6</v>
      </c>
      <c r="N49" s="9">
        <f>PL!N20</f>
        <v>10.6</v>
      </c>
      <c r="O49" s="9">
        <f>PL!O20</f>
        <v>10.6</v>
      </c>
      <c r="P49" s="9">
        <f>PL!P20</f>
        <v>10.6</v>
      </c>
    </row>
    <row r="50" ht="14.25" customHeight="1">
      <c r="D50" s="9" t="s">
        <v>340</v>
      </c>
      <c r="E50" s="11" t="str">
        <f>Currency&amp;"'000"</f>
        <v>$'000</v>
      </c>
      <c r="L50" s="9">
        <f>-CF!L25</f>
        <v>53</v>
      </c>
      <c r="M50" s="9">
        <f>-CF!M25</f>
        <v>5.4325</v>
      </c>
      <c r="N50" s="9">
        <f>-CF!N25</f>
        <v>11.12576265</v>
      </c>
      <c r="O50" s="9">
        <f>-CF!O25</f>
        <v>11.37166285</v>
      </c>
      <c r="P50" s="9">
        <f>-CF!P25</f>
        <v>11.58668318</v>
      </c>
    </row>
    <row r="51" ht="14.25" customHeight="1">
      <c r="D51" s="9" t="s">
        <v>341</v>
      </c>
      <c r="E51" s="11" t="str">
        <f>Currency&amp;"'000"</f>
        <v>$'000</v>
      </c>
      <c r="L51" s="9">
        <f>SUM(CF!L15:L20)</f>
        <v>-63.75287671</v>
      </c>
      <c r="M51" s="9">
        <f>SUM(CF!M15:M20)</f>
        <v>-5.475533014</v>
      </c>
      <c r="N51" s="9">
        <f>SUM(CF!N15:N20)</f>
        <v>-4.261086318</v>
      </c>
      <c r="O51" s="9">
        <f>SUM(CF!O15:O20)</f>
        <v>-8.347376525</v>
      </c>
      <c r="P51" s="9">
        <f>SUM(CF!P15:P20)</f>
        <v>-2.253520665</v>
      </c>
    </row>
    <row r="52" ht="14.25" customHeight="1">
      <c r="D52" s="58" t="s">
        <v>342</v>
      </c>
      <c r="E52" s="11" t="str">
        <f>Currency&amp;"'000"</f>
        <v>$'000</v>
      </c>
      <c r="L52" s="72">
        <f t="shared" ref="L52:P52" si="5">L48+L49-L50-L51</f>
        <v>116.4381767</v>
      </c>
      <c r="M52" s="72">
        <f t="shared" si="5"/>
        <v>145.5450486</v>
      </c>
      <c r="N52" s="72">
        <f t="shared" si="5"/>
        <v>142.0330289</v>
      </c>
      <c r="O52" s="72">
        <f t="shared" si="5"/>
        <v>156.2204238</v>
      </c>
      <c r="P52" s="72">
        <f t="shared" si="5"/>
        <v>139.2783793</v>
      </c>
    </row>
    <row r="53" ht="14.25" customHeight="1"/>
    <row r="54" ht="14.25" customHeight="1">
      <c r="L54" s="48">
        <f t="shared" ref="L54:P54" si="6">K54+1</f>
        <v>1</v>
      </c>
      <c r="M54" s="48">
        <f t="shared" si="6"/>
        <v>2</v>
      </c>
      <c r="N54" s="48">
        <f t="shared" si="6"/>
        <v>3</v>
      </c>
      <c r="O54" s="48">
        <f t="shared" si="6"/>
        <v>4</v>
      </c>
      <c r="P54" s="48">
        <f t="shared" si="6"/>
        <v>5</v>
      </c>
    </row>
    <row r="55" ht="14.25" customHeight="1">
      <c r="D55" s="9" t="s">
        <v>343</v>
      </c>
      <c r="E55" s="11" t="s">
        <v>122</v>
      </c>
      <c r="L55" s="71">
        <f t="shared" ref="L55:P55" si="7">$F$76</f>
        <v>0.0642926</v>
      </c>
      <c r="M55" s="71">
        <f t="shared" si="7"/>
        <v>0.0642926</v>
      </c>
      <c r="N55" s="71">
        <f t="shared" si="7"/>
        <v>0.0642926</v>
      </c>
      <c r="O55" s="71">
        <f t="shared" si="7"/>
        <v>0.0642926</v>
      </c>
      <c r="P55" s="71">
        <f t="shared" si="7"/>
        <v>0.0642926</v>
      </c>
    </row>
    <row r="56" ht="14.25" customHeight="1">
      <c r="D56" s="9" t="s">
        <v>344</v>
      </c>
      <c r="E56" s="11" t="s">
        <v>345</v>
      </c>
      <c r="L56" s="90">
        <f t="shared" ref="L56:P56" si="8">(1+L55)^-L54</f>
        <v>0.9395912365</v>
      </c>
      <c r="M56" s="90">
        <f t="shared" si="8"/>
        <v>0.8828316917</v>
      </c>
      <c r="N56" s="90">
        <f t="shared" si="8"/>
        <v>0.8295009208</v>
      </c>
      <c r="O56" s="90">
        <f t="shared" si="8"/>
        <v>0.7793917958</v>
      </c>
      <c r="P56" s="90">
        <f t="shared" si="8"/>
        <v>0.7323097011</v>
      </c>
    </row>
    <row r="57" ht="14.25" customHeight="1">
      <c r="D57" s="9" t="s">
        <v>346</v>
      </c>
      <c r="E57" s="11"/>
      <c r="L57" s="9">
        <f t="shared" ref="L57:P57" si="9">L52*L56</f>
        <v>109.4042904</v>
      </c>
      <c r="M57" s="9">
        <f t="shared" si="9"/>
        <v>128.4917814</v>
      </c>
      <c r="N57" s="9">
        <f t="shared" si="9"/>
        <v>117.8165283</v>
      </c>
      <c r="O57" s="9">
        <f t="shared" si="9"/>
        <v>121.7569167</v>
      </c>
      <c r="P57" s="9">
        <f t="shared" si="9"/>
        <v>101.9949083</v>
      </c>
    </row>
    <row r="58" ht="14.25" customHeight="1">
      <c r="D58" s="9" t="s">
        <v>347</v>
      </c>
      <c r="H58" s="91">
        <f>SUM(L57:P57)</f>
        <v>579.4644251</v>
      </c>
    </row>
    <row r="59" ht="14.25" customHeight="1"/>
    <row r="60" ht="14.25" customHeight="1">
      <c r="C60" s="36" t="s">
        <v>348</v>
      </c>
      <c r="L60" s="13"/>
    </row>
    <row r="61" ht="14.25" customHeight="1">
      <c r="D61" s="34" t="s">
        <v>349</v>
      </c>
    </row>
    <row r="62" ht="14.25" customHeight="1">
      <c r="D62" s="9" t="s">
        <v>143</v>
      </c>
      <c r="E62" s="11" t="str">
        <f>Currency&amp;"'000"</f>
        <v>$'000</v>
      </c>
      <c r="F62" s="38">
        <f>Inputs!L35</f>
        <v>100000</v>
      </c>
      <c r="G62" s="56">
        <f t="shared" ref="G62:G63" si="10">F62/$F$64</f>
        <v>0.4</v>
      </c>
    </row>
    <row r="63" ht="14.25" customHeight="1">
      <c r="D63" s="9" t="s">
        <v>140</v>
      </c>
      <c r="E63" s="11" t="str">
        <f>Currency&amp;"'000"</f>
        <v>$'000</v>
      </c>
      <c r="F63" s="38">
        <f>Inputs!L37</f>
        <v>150000</v>
      </c>
      <c r="G63" s="56">
        <f t="shared" si="10"/>
        <v>0.6</v>
      </c>
    </row>
    <row r="64" ht="14.25" customHeight="1">
      <c r="F64" s="72">
        <f t="shared" ref="F64:G64" si="11">SUM(F62:F63)</f>
        <v>250000</v>
      </c>
      <c r="G64" s="56">
        <f t="shared" si="11"/>
        <v>1</v>
      </c>
    </row>
    <row r="65" ht="14.25" customHeight="1"/>
    <row r="66" ht="14.25" customHeight="1">
      <c r="D66" s="34" t="s">
        <v>350</v>
      </c>
      <c r="F66" s="9" t="s">
        <v>351</v>
      </c>
    </row>
    <row r="67" ht="14.25" customHeight="1">
      <c r="D67" s="9" t="s">
        <v>352</v>
      </c>
      <c r="E67" s="11" t="s">
        <v>122</v>
      </c>
      <c r="F67" s="55">
        <v>0.0145</v>
      </c>
      <c r="G67" s="92" t="s">
        <v>353</v>
      </c>
    </row>
    <row r="68" ht="14.25" customHeight="1">
      <c r="D68" s="9" t="s">
        <v>354</v>
      </c>
      <c r="E68" s="11" t="s">
        <v>122</v>
      </c>
      <c r="F68" s="55">
        <v>0.0555</v>
      </c>
      <c r="G68" s="92" t="s">
        <v>355</v>
      </c>
    </row>
    <row r="69" ht="14.25" customHeight="1">
      <c r="D69" s="9" t="s">
        <v>356</v>
      </c>
      <c r="E69" s="11" t="s">
        <v>122</v>
      </c>
      <c r="F69" s="93">
        <v>0.99</v>
      </c>
      <c r="G69" s="92" t="s">
        <v>357</v>
      </c>
      <c r="N69" s="56"/>
    </row>
    <row r="70" ht="14.25" customHeight="1">
      <c r="D70" s="58" t="s">
        <v>350</v>
      </c>
      <c r="E70" s="11" t="s">
        <v>122</v>
      </c>
      <c r="F70" s="94">
        <f>F67+F69*F68</f>
        <v>0.069445</v>
      </c>
      <c r="N70" s="79"/>
    </row>
    <row r="71" ht="14.25" customHeight="1">
      <c r="N71" s="79"/>
    </row>
    <row r="72" ht="14.25" customHeight="1">
      <c r="D72" s="9" t="s">
        <v>358</v>
      </c>
      <c r="E72" s="11" t="s">
        <v>122</v>
      </c>
      <c r="F72" s="71">
        <f>Inputs!L43</f>
        <v>0.0716</v>
      </c>
    </row>
    <row r="73" ht="14.25" customHeight="1">
      <c r="D73" s="9" t="s">
        <v>359</v>
      </c>
      <c r="E73" s="11" t="s">
        <v>122</v>
      </c>
      <c r="F73" s="71">
        <f>L44</f>
        <v>0.21</v>
      </c>
    </row>
    <row r="74" ht="14.25" customHeight="1">
      <c r="D74" s="58" t="s">
        <v>360</v>
      </c>
      <c r="E74" s="11" t="s">
        <v>122</v>
      </c>
      <c r="F74" s="94">
        <f>(1-F73)*F72</f>
        <v>0.056564</v>
      </c>
    </row>
    <row r="75" ht="14.25" customHeight="1"/>
    <row r="76" ht="14.25" customHeight="1">
      <c r="D76" s="58" t="s">
        <v>361</v>
      </c>
      <c r="F76" s="94">
        <f>(F70*G63)+(F74*G62)</f>
        <v>0.0642926</v>
      </c>
    </row>
    <row r="77" ht="14.25" customHeight="1"/>
    <row r="78" ht="14.25" customHeight="1">
      <c r="C78" s="36" t="s">
        <v>362</v>
      </c>
      <c r="K78" s="48">
        <v>0.0</v>
      </c>
      <c r="L78" s="48">
        <f t="shared" ref="L78:P78" si="12">K78+1</f>
        <v>1</v>
      </c>
      <c r="M78" s="48">
        <f t="shared" si="12"/>
        <v>2</v>
      </c>
      <c r="N78" s="48">
        <f t="shared" si="12"/>
        <v>3</v>
      </c>
      <c r="O78" s="48">
        <f t="shared" si="12"/>
        <v>4</v>
      </c>
      <c r="P78" s="48">
        <f t="shared" si="12"/>
        <v>5</v>
      </c>
    </row>
    <row r="79" ht="14.25" customHeight="1">
      <c r="D79" s="9" t="s">
        <v>363</v>
      </c>
      <c r="E79" s="11" t="str">
        <f>Currency&amp;"'000"</f>
        <v>$'000</v>
      </c>
      <c r="K79" s="9">
        <f>-Inputs!L38/Div</f>
        <v>-250</v>
      </c>
      <c r="L79" s="38">
        <f t="shared" ref="L79:P79" si="13">L52</f>
        <v>116.4381767</v>
      </c>
      <c r="M79" s="38">
        <f t="shared" si="13"/>
        <v>145.5450486</v>
      </c>
      <c r="N79" s="38">
        <f t="shared" si="13"/>
        <v>142.0330289</v>
      </c>
      <c r="O79" s="38">
        <f t="shared" si="13"/>
        <v>156.2204238</v>
      </c>
      <c r="P79" s="38">
        <f t="shared" si="13"/>
        <v>139.2783793</v>
      </c>
    </row>
    <row r="80" ht="14.25" customHeight="1">
      <c r="D80" s="9" t="s">
        <v>364</v>
      </c>
      <c r="E80" s="11" t="s">
        <v>122</v>
      </c>
      <c r="K80" s="56">
        <f t="shared" ref="K80:P80" si="14">$F$76</f>
        <v>0.0642926</v>
      </c>
      <c r="L80" s="56">
        <f t="shared" si="14"/>
        <v>0.0642926</v>
      </c>
      <c r="M80" s="56">
        <f t="shared" si="14"/>
        <v>0.0642926</v>
      </c>
      <c r="N80" s="56">
        <f t="shared" si="14"/>
        <v>0.0642926</v>
      </c>
      <c r="O80" s="56">
        <f t="shared" si="14"/>
        <v>0.0642926</v>
      </c>
      <c r="P80" s="56">
        <f t="shared" si="14"/>
        <v>0.0642926</v>
      </c>
    </row>
    <row r="81" ht="14.25" customHeight="1">
      <c r="D81" s="9" t="s">
        <v>365</v>
      </c>
      <c r="E81" s="11" t="s">
        <v>345</v>
      </c>
      <c r="K81" s="90">
        <f t="shared" ref="K81:P81" si="15">(1+K80)^-K78</f>
        <v>1</v>
      </c>
      <c r="L81" s="90">
        <f t="shared" si="15"/>
        <v>0.9395912365</v>
      </c>
      <c r="M81" s="90">
        <f t="shared" si="15"/>
        <v>0.8828316917</v>
      </c>
      <c r="N81" s="90">
        <f t="shared" si="15"/>
        <v>0.8295009208</v>
      </c>
      <c r="O81" s="90">
        <f t="shared" si="15"/>
        <v>0.7793917958</v>
      </c>
      <c r="P81" s="90">
        <f t="shared" si="15"/>
        <v>0.7323097011</v>
      </c>
    </row>
    <row r="82" ht="14.25" customHeight="1">
      <c r="D82" s="9" t="s">
        <v>366</v>
      </c>
      <c r="E82" s="11" t="str">
        <f>Currency&amp;"'000"</f>
        <v>$'000</v>
      </c>
      <c r="K82" s="9">
        <f t="shared" ref="K82:P82" si="16">K79*K81</f>
        <v>-250</v>
      </c>
      <c r="L82" s="9">
        <f t="shared" si="16"/>
        <v>109.4042904</v>
      </c>
      <c r="M82" s="9">
        <f t="shared" si="16"/>
        <v>128.4917814</v>
      </c>
      <c r="N82" s="9">
        <f t="shared" si="16"/>
        <v>117.8165283</v>
      </c>
      <c r="O82" s="9">
        <f t="shared" si="16"/>
        <v>121.7569167</v>
      </c>
      <c r="P82" s="9">
        <f t="shared" si="16"/>
        <v>101.9949083</v>
      </c>
    </row>
    <row r="83" ht="14.25" customHeight="1">
      <c r="D83" s="58" t="s">
        <v>367</v>
      </c>
      <c r="E83" s="11" t="str">
        <f>Currency&amp;"'000"</f>
        <v>$'000</v>
      </c>
      <c r="H83" s="59">
        <f>SUM(K82:P82)</f>
        <v>329.4644251</v>
      </c>
    </row>
    <row r="84" ht="14.25" customHeight="1">
      <c r="D84" s="58" t="s">
        <v>368</v>
      </c>
      <c r="E84" s="11" t="str">
        <f>Currency&amp;"'000"</f>
        <v>$'000</v>
      </c>
      <c r="H84" s="91">
        <f t="array" ref="H84">NPV(F76,L79:P79)+K79</f>
        <v>329.4644251</v>
      </c>
    </row>
    <row r="85" ht="14.25" customHeight="1"/>
    <row r="86" ht="14.25" customHeight="1">
      <c r="C86" s="36" t="s">
        <v>369</v>
      </c>
    </row>
    <row r="87" ht="14.25" customHeight="1">
      <c r="D87" s="9" t="s">
        <v>370</v>
      </c>
      <c r="E87" s="11" t="str">
        <f>Currency&amp;"'000"</f>
        <v>$'000</v>
      </c>
      <c r="K87" s="9">
        <f t="shared" ref="K87:P87" si="17">K79</f>
        <v>-250</v>
      </c>
      <c r="L87" s="38">
        <f t="shared" si="17"/>
        <v>116.4381767</v>
      </c>
      <c r="M87" s="38">
        <f t="shared" si="17"/>
        <v>145.5450486</v>
      </c>
      <c r="N87" s="38">
        <f t="shared" si="17"/>
        <v>142.0330289</v>
      </c>
      <c r="O87" s="38">
        <f t="shared" si="17"/>
        <v>156.2204238</v>
      </c>
      <c r="P87" s="38">
        <f t="shared" si="17"/>
        <v>139.2783793</v>
      </c>
    </row>
    <row r="88" ht="14.25" customHeight="1">
      <c r="D88" s="9" t="s">
        <v>371</v>
      </c>
      <c r="E88" s="11" t="str">
        <f>Currency&amp;"'000"</f>
        <v>$'000</v>
      </c>
      <c r="K88" s="84">
        <f t="shared" ref="K88:P88" si="18">SUM($K$87:K87)</f>
        <v>-250</v>
      </c>
      <c r="L88" s="84">
        <f t="shared" si="18"/>
        <v>-133.5618233</v>
      </c>
      <c r="M88" s="84">
        <f t="shared" si="18"/>
        <v>11.98322528</v>
      </c>
      <c r="N88" s="84">
        <f t="shared" si="18"/>
        <v>154.0162542</v>
      </c>
      <c r="O88" s="84">
        <f t="shared" si="18"/>
        <v>310.236678</v>
      </c>
      <c r="P88" s="84">
        <f t="shared" si="18"/>
        <v>449.5150573</v>
      </c>
    </row>
    <row r="89" ht="14.25" customHeight="1">
      <c r="D89" s="9" t="s">
        <v>372</v>
      </c>
      <c r="E89" s="11" t="str">
        <f>Currency&amp;"'000"</f>
        <v>$'000</v>
      </c>
      <c r="F89" s="95">
        <f t="shared" ref="F89:F90" si="20">SUM(L89:P89)</f>
        <v>1.917666555</v>
      </c>
      <c r="H89" s="9" t="s">
        <v>373</v>
      </c>
      <c r="L89" s="9">
        <f t="shared" ref="L89:P89" si="19">IF(L88&lt;0,1,IF(K88&lt;0,ABS(K88/L87),""))</f>
        <v>1</v>
      </c>
      <c r="M89" s="9">
        <f t="shared" si="19"/>
        <v>0.9176665548</v>
      </c>
      <c r="N89" s="9" t="str">
        <f t="shared" si="19"/>
        <v/>
      </c>
      <c r="O89" s="9" t="str">
        <f t="shared" si="19"/>
        <v/>
      </c>
      <c r="P89" s="9" t="str">
        <f t="shared" si="19"/>
        <v/>
      </c>
    </row>
    <row r="90" ht="14.25" customHeight="1">
      <c r="D90" s="9" t="s">
        <v>372</v>
      </c>
      <c r="E90" s="11" t="s">
        <v>145</v>
      </c>
      <c r="F90" s="95">
        <f t="shared" si="20"/>
        <v>1.917666555</v>
      </c>
      <c r="H90" s="9" t="s">
        <v>374</v>
      </c>
      <c r="L90" s="9" t="str">
        <f t="shared" ref="L90:P90" si="21">IF(AND(K88&lt;0,L88&gt;0),K78+ABS(K88/L87),"")</f>
        <v/>
      </c>
      <c r="M90" s="9">
        <f t="shared" si="21"/>
        <v>1.917666555</v>
      </c>
      <c r="N90" s="9" t="str">
        <f t="shared" si="21"/>
        <v/>
      </c>
      <c r="O90" s="9" t="str">
        <f t="shared" si="21"/>
        <v/>
      </c>
      <c r="P90" s="9" t="str">
        <f t="shared" si="21"/>
        <v/>
      </c>
    </row>
    <row r="91" ht="14.25" customHeight="1"/>
    <row r="92" ht="14.25" customHeight="1">
      <c r="C92" s="36" t="s">
        <v>375</v>
      </c>
    </row>
    <row r="93" ht="14.25" customHeight="1">
      <c r="D93" s="9" t="s">
        <v>376</v>
      </c>
      <c r="E93" s="11" t="str">
        <f>Currency&amp;"'000"</f>
        <v>$'000</v>
      </c>
      <c r="K93" s="9">
        <f t="shared" ref="K93:P93" si="22">K82</f>
        <v>-250</v>
      </c>
      <c r="L93" s="9">
        <f t="shared" si="22"/>
        <v>109.4042904</v>
      </c>
      <c r="M93" s="9">
        <f t="shared" si="22"/>
        <v>128.4917814</v>
      </c>
      <c r="N93" s="9">
        <f t="shared" si="22"/>
        <v>117.8165283</v>
      </c>
      <c r="O93" s="9">
        <f t="shared" si="22"/>
        <v>121.7569167</v>
      </c>
      <c r="P93" s="9">
        <f t="shared" si="22"/>
        <v>101.9949083</v>
      </c>
    </row>
    <row r="94" ht="14.25" customHeight="1">
      <c r="D94" s="9" t="s">
        <v>377</v>
      </c>
      <c r="E94" s="11" t="str">
        <f>Currency&amp;"'000"</f>
        <v>$'000</v>
      </c>
      <c r="K94" s="84">
        <f t="shared" ref="K94:P94" si="23">SUM($K$93:K93)</f>
        <v>-250</v>
      </c>
      <c r="L94" s="84">
        <f t="shared" si="23"/>
        <v>-140.5957096</v>
      </c>
      <c r="M94" s="84">
        <f t="shared" si="23"/>
        <v>-12.10392814</v>
      </c>
      <c r="N94" s="84">
        <f t="shared" si="23"/>
        <v>105.7126001</v>
      </c>
      <c r="O94" s="84">
        <f t="shared" si="23"/>
        <v>227.4695168</v>
      </c>
      <c r="P94" s="84">
        <f t="shared" si="23"/>
        <v>329.4644251</v>
      </c>
    </row>
    <row r="95" ht="14.25" customHeight="1">
      <c r="D95" s="9" t="s">
        <v>372</v>
      </c>
      <c r="E95" s="11" t="s">
        <v>234</v>
      </c>
      <c r="F95" s="95">
        <f>SUM(L95:P95)</f>
        <v>3.1027354</v>
      </c>
      <c r="L95" s="9" t="str">
        <f t="shared" ref="L95:P95" si="24">IF(AND(K94&lt;0,L94&gt;0),L78+ABS(K94/L93),"")</f>
        <v/>
      </c>
      <c r="M95" s="9" t="str">
        <f t="shared" si="24"/>
        <v/>
      </c>
      <c r="N95" s="9">
        <f t="shared" si="24"/>
        <v>3.1027354</v>
      </c>
      <c r="O95" s="9" t="str">
        <f t="shared" si="24"/>
        <v/>
      </c>
      <c r="P95" s="9" t="str">
        <f t="shared" si="24"/>
        <v/>
      </c>
    </row>
    <row r="96" ht="14.25" customHeight="1"/>
    <row r="97" ht="14.25" customHeight="1">
      <c r="C97" s="36" t="s">
        <v>378</v>
      </c>
    </row>
    <row r="98" ht="14.25" customHeight="1">
      <c r="D98" s="9" t="str">
        <f t="shared" ref="D98:E98" si="25">D79</f>
        <v>Cash Flow</v>
      </c>
      <c r="E98" s="11" t="str">
        <f t="shared" si="25"/>
        <v>$'000</v>
      </c>
      <c r="K98" s="9">
        <f t="shared" ref="K98:P98" si="26">K79</f>
        <v>-250</v>
      </c>
      <c r="L98" s="38">
        <f t="shared" si="26"/>
        <v>116.4381767</v>
      </c>
      <c r="M98" s="38">
        <f t="shared" si="26"/>
        <v>145.5450486</v>
      </c>
      <c r="N98" s="38">
        <f t="shared" si="26"/>
        <v>142.0330289</v>
      </c>
      <c r="O98" s="38">
        <f t="shared" si="26"/>
        <v>156.2204238</v>
      </c>
      <c r="P98" s="38">
        <f t="shared" si="26"/>
        <v>139.2783793</v>
      </c>
    </row>
    <row r="99" ht="14.25" customHeight="1">
      <c r="D99" s="9" t="s">
        <v>379</v>
      </c>
      <c r="E99" s="11" t="str">
        <f>E80</f>
        <v>%age</v>
      </c>
      <c r="F99" s="96">
        <f>IRR(K98:P98,F76)</f>
        <v>0.4576723299</v>
      </c>
    </row>
    <row r="100" ht="14.25" customHeight="1"/>
    <row r="101" ht="14.25" customHeight="1">
      <c r="C101" s="36" t="s">
        <v>380</v>
      </c>
    </row>
    <row r="102" ht="14.25" customHeight="1">
      <c r="D102" s="53" t="s">
        <v>381</v>
      </c>
    </row>
    <row r="103" ht="14.25" customHeight="1">
      <c r="D103" s="9" t="s">
        <v>342</v>
      </c>
      <c r="E103" s="11" t="str">
        <f>Currency&amp;"'000"</f>
        <v>$'000</v>
      </c>
      <c r="F103" s="38">
        <f>P52</f>
        <v>139.2783793</v>
      </c>
    </row>
    <row r="104" ht="14.25" customHeight="1">
      <c r="D104" s="9" t="s">
        <v>382</v>
      </c>
      <c r="F104" s="64">
        <v>0.025</v>
      </c>
    </row>
    <row r="105" ht="14.25" customHeight="1">
      <c r="D105" s="9" t="s">
        <v>361</v>
      </c>
      <c r="F105" s="56">
        <f>F76</f>
        <v>0.0642926</v>
      </c>
    </row>
    <row r="106" ht="14.25" customHeight="1">
      <c r="D106" s="9" t="s">
        <v>383</v>
      </c>
      <c r="E106" s="11" t="str">
        <f>Currency&amp;"'000"</f>
        <v>$'000</v>
      </c>
      <c r="F106" s="72">
        <f>F103*(1+F104)/(F105-F104)</f>
        <v>3633.262722</v>
      </c>
    </row>
    <row r="107" ht="14.25" customHeight="1">
      <c r="D107" s="9" t="s">
        <v>384</v>
      </c>
      <c r="E107" s="11" t="str">
        <f>Currency&amp;"'000"</f>
        <v>$'000</v>
      </c>
      <c r="F107" s="58">
        <f t="array" ref="F107">NPV(F105,F106)</f>
        <v>3413.781813</v>
      </c>
    </row>
    <row r="108" ht="14.25" customHeight="1"/>
    <row r="109" ht="14.25" customHeight="1">
      <c r="C109" s="36" t="s">
        <v>385</v>
      </c>
    </row>
    <row r="110" ht="14.25" customHeight="1">
      <c r="D110" s="9" t="s">
        <v>386</v>
      </c>
      <c r="E110" s="11" t="str">
        <f>Currency&amp;"'000"</f>
        <v>$'000</v>
      </c>
      <c r="F110" s="38">
        <f>H58</f>
        <v>579.4644251</v>
      </c>
    </row>
    <row r="111" ht="14.25" customHeight="1">
      <c r="D111" s="9" t="s">
        <v>384</v>
      </c>
      <c r="E111" s="11" t="str">
        <f>Currency&amp;"'000"</f>
        <v>$'000</v>
      </c>
      <c r="F111" s="38">
        <f>F107</f>
        <v>3413.781813</v>
      </c>
    </row>
    <row r="112" ht="14.25" customHeight="1">
      <c r="D112" s="58" t="s">
        <v>387</v>
      </c>
      <c r="E112" s="11" t="str">
        <f>Currency&amp;"'000"</f>
        <v>$'000</v>
      </c>
      <c r="F112" s="72">
        <f>SUM(F110:F111)</f>
        <v>3993.246238</v>
      </c>
      <c r="H112" s="97">
        <f>F112</f>
        <v>3993.246238</v>
      </c>
    </row>
    <row r="113" ht="14.25" customHeight="1">
      <c r="D113" s="9" t="s">
        <v>388</v>
      </c>
      <c r="E113" s="11" t="str">
        <f>Currency&amp;"'000"</f>
        <v>$'000</v>
      </c>
      <c r="F113" s="9">
        <v>0.0</v>
      </c>
    </row>
    <row r="114" ht="14.25" customHeight="1">
      <c r="D114" s="9" t="s">
        <v>389</v>
      </c>
      <c r="E114" s="11" t="str">
        <f>Currency&amp;"'000"</f>
        <v>$'000</v>
      </c>
      <c r="F114" s="9">
        <f>Inputs!L35/Div</f>
        <v>100</v>
      </c>
    </row>
    <row r="115" ht="14.25" customHeight="1">
      <c r="D115" s="58" t="s">
        <v>390</v>
      </c>
      <c r="E115" s="11" t="str">
        <f>Currency&amp;"'000"</f>
        <v>$'000</v>
      </c>
      <c r="F115" s="72">
        <f>F112+F113-F114</f>
        <v>3893.246238</v>
      </c>
    </row>
    <row r="116" ht="14.25" customHeight="1"/>
    <row r="117" ht="14.25" customHeight="1">
      <c r="C117" s="36" t="s">
        <v>391</v>
      </c>
    </row>
    <row r="118" ht="14.25" customHeight="1">
      <c r="D118" s="9" t="s">
        <v>392</v>
      </c>
      <c r="F118" s="30">
        <v>150.0</v>
      </c>
    </row>
    <row r="119" ht="14.25" customHeight="1">
      <c r="D119" s="9" t="s">
        <v>393</v>
      </c>
      <c r="F119" s="38">
        <f>F112</f>
        <v>3993.246238</v>
      </c>
    </row>
    <row r="120" ht="14.25" customHeight="1">
      <c r="D120" s="58" t="s">
        <v>394</v>
      </c>
      <c r="F120" s="96">
        <f>F118/(F118+F119)</f>
        <v>0.03620349633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2"/>
  </mergeCells>
  <printOptions/>
  <pageMargins bottom="0.75" footer="0.0" header="0.0" left="0.7" right="0.7" top="0.75"/>
  <pageSetup fitToHeight="0" orientation="landscape"/>
  <headerFooter>
    <oddFooter>&amp;LPrinted on: &amp;D at &amp;T&amp;C&amp;A&amp;R&amp;P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2021-01-26T14:30:58Z</dcterms:created>
  <dc:creator>Victor Ogundele</dc:creator>
</cp:coreProperties>
</file>